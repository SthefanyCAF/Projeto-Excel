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ypRosa\Documents\Projetos\Excel\"/>
    </mc:Choice>
  </mc:AlternateContent>
  <xr:revisionPtr revIDLastSave="0" documentId="13_ncr:1_{E8B04977-5493-410B-972F-E4841069E65E}" xr6:coauthVersionLast="47" xr6:coauthVersionMax="47" xr10:uidLastSave="{00000000-0000-0000-0000-000000000000}"/>
  <bookViews>
    <workbookView xWindow="-120" yWindow="-120" windowWidth="20730" windowHeight="11040" xr2:uid="{20A0F1F7-4924-455A-B2D5-95AEEDCB69ED}"/>
  </bookViews>
  <sheets>
    <sheet name="1° exercício Formataçao de text" sheetId="4" r:id="rId1"/>
    <sheet name="2°  Congelar linha " sheetId="5" r:id="rId2"/>
    <sheet name="3° Congelar coluna" sheetId="6" r:id="rId3"/>
    <sheet name="4° Funcoes Matematicas" sheetId="7" r:id="rId4"/>
    <sheet name="5° F.Valores" sheetId="8" r:id="rId5"/>
    <sheet name="6° % no Excel" sheetId="10" r:id="rId6"/>
    <sheet name="7° Relativas e Absolutas" sheetId="11" r:id="rId7"/>
    <sheet name="8° Data  " sheetId="12" r:id="rId8"/>
    <sheet name="9° Localizar" sheetId="13" r:id="rId9"/>
    <sheet name="10° MAIÚSCULA &amp; MINUSCULA" sheetId="14" r:id="rId10"/>
    <sheet name="11° Concatenar" sheetId="15" r:id="rId11"/>
    <sheet name="12°Agora" sheetId="16" r:id="rId12"/>
    <sheet name="13° Hora" sheetId="17" r:id="rId13"/>
  </sheets>
  <definedNames>
    <definedName name="_xlnm._FilterDatabase" localSheetId="3" hidden="1">'4° Funcoes Matematicas'!$A$1:$I$20</definedName>
    <definedName name="_xlnm._FilterDatabase" localSheetId="4" hidden="1">'5° F.Valores'!$A$1:$F$20</definedName>
    <definedName name="_xlnm._FilterDatabase" localSheetId="8" hidden="1">'9° Localizar'!$A$2:$E$87</definedName>
    <definedName name="Z_15420BEE_D5D7_4ED4_9BAB_18A5F2EF42EB_.wvu.FilterData" localSheetId="4" hidden="1">'5° F.Valores'!$A$1:$F$20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7" l="1"/>
  <c r="M10" i="7"/>
  <c r="M9" i="7"/>
  <c r="M8" i="7"/>
  <c r="M7" i="7"/>
  <c r="C14" i="4" l="1"/>
  <c r="C13" i="4"/>
  <c r="C12" i="4"/>
  <c r="C11" i="4"/>
  <c r="C10" i="4"/>
  <c r="C9" i="4"/>
  <c r="C8" i="4"/>
  <c r="C7" i="4"/>
  <c r="C6" i="4"/>
  <c r="C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</author>
  </authors>
  <commentList>
    <comment ref="B4" authorId="0" shapeId="0" xr:uid="{0D8628EE-2B55-418A-9DDA-F11E8A862E5F}">
      <text>
        <r>
          <rPr>
            <b/>
            <sz val="9"/>
            <color indexed="81"/>
            <rFont val="Tahoma"/>
            <family val="2"/>
          </rPr>
          <t xml:space="preserve">Formatar a toda a tabela obedecendo os criterios conforme a imagem ao lado:
1°: toda a tabela formatada com fonte Cambria tamanho 11
2°:coluna Dinheiro no  formato moeda
3°: coluna porcentagem formatado como %
4°: coluna DATA formatado como data abreviada
5°: Coluna telefone formatado personalizado no formato (##)#####-#### </t>
        </r>
      </text>
    </comment>
    <comment ref="I5" authorId="0" shapeId="0" xr:uid="{CC8A3C77-E327-42C6-8D15-BA4ACE4915CE}">
      <text>
        <r>
          <rPr>
            <sz val="9"/>
            <color indexed="81"/>
            <rFont val="Tahoma"/>
            <family val="2"/>
          </rPr>
          <t xml:space="preserve">
Deve ficar assim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</author>
  </authors>
  <commentList>
    <comment ref="E1" authorId="0" shapeId="0" xr:uid="{2AC9BDC5-B0A5-4118-A2BA-E4D40D2A0269}">
      <text>
        <r>
          <rPr>
            <b/>
            <sz val="9"/>
            <color indexed="81"/>
            <rFont val="Tahoma"/>
            <family val="2"/>
          </rPr>
          <t xml:space="preserve">Usando a ferramenta "CONGELAR " Congelar  toda a linha  1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</author>
  </authors>
  <commentList>
    <comment ref="A1" authorId="0" shapeId="0" xr:uid="{9F9FA88A-CB57-4EBF-8061-2E543D5D4BEF}">
      <text>
        <r>
          <rPr>
            <b/>
            <sz val="9"/>
            <color indexed="81"/>
            <rFont val="Tahoma"/>
            <family val="2"/>
          </rPr>
          <t xml:space="preserve">Usando a ferramenta "CONGELAR " Congelar as colunas A e B 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 T610</author>
  </authors>
  <commentList>
    <comment ref="B2" authorId="0" shapeId="0" xr:uid="{43772634-8443-4C0E-880F-75FA1909E7CF}">
      <text>
        <r>
          <rPr>
            <sz val="9"/>
            <color indexed="81"/>
            <rFont val="Segoe UI"/>
            <family val="2"/>
          </rPr>
          <t xml:space="preserve">Usar funçao de DIA para extrair o Dia
Representar nas cedulas B3 a B11
</t>
        </r>
      </text>
    </comment>
    <comment ref="C2" authorId="0" shapeId="0" xr:uid="{AED8BCB4-66EB-4145-9556-58E37A969CF2}">
      <text>
        <r>
          <rPr>
            <sz val="9"/>
            <color indexed="81"/>
            <rFont val="Segoe UI"/>
            <family val="2"/>
          </rPr>
          <t xml:space="preserve">
Usar funçao de MÊS para extrair o MÊS.
Representar nas cedulas C3 a C11</t>
        </r>
      </text>
    </comment>
    <comment ref="D2" authorId="0" shapeId="0" xr:uid="{A8566675-6B15-4199-8DF2-ECF41340BD77}">
      <text>
        <r>
          <rPr>
            <sz val="9"/>
            <color indexed="81"/>
            <rFont val="Segoe UI"/>
            <family val="2"/>
          </rPr>
          <t xml:space="preserve">
Usar funçoes de data para extrair o ANO.
Representar nas cedulas D3 a D11</t>
        </r>
      </text>
    </comment>
    <comment ref="E2" authorId="0" shapeId="0" xr:uid="{CED3342E-5B30-43F9-A91E-1E662CC572DE}">
      <text>
        <r>
          <rPr>
            <sz val="9"/>
            <color indexed="81"/>
            <rFont val="Segoe UI"/>
            <family val="2"/>
          </rPr>
          <t>Usar funçao DATA para fazer a coneçao de DIA, MÊS e ANO ( colunas B,C e D  )para ficar identica a Coluna A.
representar nas cedulas E3 a E11</t>
        </r>
      </text>
    </comment>
    <comment ref="F2" authorId="0" shapeId="0" xr:uid="{C8B5B267-31B9-41F3-A90A-59BBC7C7084D}">
      <text>
        <r>
          <rPr>
            <sz val="9"/>
            <color indexed="81"/>
            <rFont val="Segoe UI"/>
            <family val="2"/>
          </rPr>
          <t>Usar funçao DATA para fazer a coneçao de DIA, MÊS e ANO ( colunas B,C e D  ) e adicionar + 30 dias 
representar nas cedulas F3 a F11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</author>
  </authors>
  <commentList>
    <comment ref="B2" authorId="0" shapeId="0" xr:uid="{40396F0E-F762-4C7E-8BC0-AFC77CB68A3C}">
      <text>
        <r>
          <rPr>
            <b/>
            <sz val="9"/>
            <color indexed="81"/>
            <rFont val="Tahoma"/>
            <family val="2"/>
          </rPr>
          <t>Usando a funçao Localizar e substituir localize no campo "Area" coluna B a palavra  (Pessoal) e Substitua todos por (Gestão de pessoas)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 T610</author>
  </authors>
  <commentList>
    <comment ref="B3" authorId="0" shapeId="0" xr:uid="{81371473-1602-48D6-A2A0-727B63260AF8}">
      <text>
        <r>
          <rPr>
            <sz val="9"/>
            <color indexed="81"/>
            <rFont val="Segoe UI"/>
            <family val="2"/>
          </rPr>
          <t>Usar a função HORA para extrair hora de coluna A.
Representar nas cedulas B17 a B27</t>
        </r>
      </text>
    </comment>
    <comment ref="C3" authorId="0" shapeId="0" xr:uid="{21BAB210-A6D5-4C01-827D-69B5AD1087BC}">
      <text>
        <r>
          <rPr>
            <b/>
            <sz val="9"/>
            <color indexed="81"/>
            <rFont val="Segoe UI"/>
            <family val="2"/>
          </rPr>
          <t>Usar a função MINUTO para extrair minutos de coluna A</t>
        </r>
        <r>
          <rPr>
            <sz val="9"/>
            <color indexed="81"/>
            <rFont val="Segoe UI"/>
            <family val="2"/>
          </rPr>
          <t xml:space="preserve">
Representar nas cedulas C17 a C27</t>
        </r>
      </text>
    </comment>
    <comment ref="D3" authorId="0" shapeId="0" xr:uid="{2ACE69A1-8376-4880-87D6-D9CE58DB84AB}">
      <text>
        <r>
          <rPr>
            <b/>
            <sz val="9"/>
            <color indexed="81"/>
            <rFont val="Segoe UI"/>
            <family val="2"/>
          </rPr>
          <t>Usar a função SEGUNDO para extrair segundos de coluna A
Representar nas cedulas D17 a D27</t>
        </r>
      </text>
    </comment>
    <comment ref="E3" authorId="0" shapeId="0" xr:uid="{C2B944F2-C381-4F9E-9173-3DA063E689B6}">
      <text>
        <r>
          <rPr>
            <b/>
            <sz val="9"/>
            <color indexed="81"/>
            <rFont val="Segoe UI"/>
            <family val="2"/>
          </rPr>
          <t>Usar a função TEMPO para fazer a conexão das Colunas B,C e D para que fique identica a Coluna A</t>
        </r>
        <r>
          <rPr>
            <sz val="9"/>
            <color indexed="81"/>
            <rFont val="Segoe UI"/>
            <family val="2"/>
          </rPr>
          <t xml:space="preserve">
Representar nas cedulas F17 a F27</t>
        </r>
      </text>
    </comment>
    <comment ref="B16" authorId="0" shapeId="0" xr:uid="{25D9D5DB-424B-4F91-A959-D81DA799EABC}">
      <text>
        <r>
          <rPr>
            <sz val="9"/>
            <color indexed="81"/>
            <rFont val="Segoe UI"/>
            <family val="2"/>
          </rPr>
          <t>Usar a função HORA para extrair hora de coluna A.
Representar nas cedulas B17 a B27</t>
        </r>
      </text>
    </comment>
    <comment ref="C16" authorId="0" shapeId="0" xr:uid="{3D4BF63C-B57B-4912-8A3D-D291A7CA3078}">
      <text>
        <r>
          <rPr>
            <b/>
            <sz val="9"/>
            <color indexed="81"/>
            <rFont val="Segoe UI"/>
            <family val="2"/>
          </rPr>
          <t>Usar a função MINUTO para extrair minutos de coluna A</t>
        </r>
        <r>
          <rPr>
            <sz val="9"/>
            <color indexed="81"/>
            <rFont val="Segoe UI"/>
            <family val="2"/>
          </rPr>
          <t xml:space="preserve">
Representar nas cedulas C17 a C27</t>
        </r>
      </text>
    </comment>
    <comment ref="D16" authorId="0" shapeId="0" xr:uid="{96F16BAB-DCC5-4A42-BCEE-79956BE4F6E1}">
      <text>
        <r>
          <rPr>
            <b/>
            <sz val="9"/>
            <color indexed="81"/>
            <rFont val="Segoe UI"/>
            <family val="2"/>
          </rPr>
          <t>Usar a função SEGUNDO para extrair segundos de coluna A
Representar nas cedulas D17 a D27</t>
        </r>
      </text>
    </comment>
  </commentList>
</comments>
</file>

<file path=xl/sharedStrings.xml><?xml version="1.0" encoding="utf-8"?>
<sst xmlns="http://schemas.openxmlformats.org/spreadsheetml/2006/main" count="991" uniqueCount="250">
  <si>
    <t>Pedro</t>
  </si>
  <si>
    <t>Nome</t>
  </si>
  <si>
    <t>Dinheiro</t>
  </si>
  <si>
    <t>Porcentagem</t>
  </si>
  <si>
    <t>Data</t>
  </si>
  <si>
    <t>Telefone</t>
  </si>
  <si>
    <t>João</t>
  </si>
  <si>
    <t>José</t>
  </si>
  <si>
    <t>Maria</t>
  </si>
  <si>
    <t>Marilda</t>
  </si>
  <si>
    <t>Paula</t>
  </si>
  <si>
    <t>Paulo</t>
  </si>
  <si>
    <t>Renata</t>
  </si>
  <si>
    <t>Rita</t>
  </si>
  <si>
    <t>Roberta</t>
  </si>
  <si>
    <t>Contato</t>
  </si>
  <si>
    <t>Área</t>
  </si>
  <si>
    <t>Cargo</t>
  </si>
  <si>
    <t>Bairro</t>
  </si>
  <si>
    <t>Salário</t>
  </si>
  <si>
    <t>Felipe Grileti Pinotti</t>
  </si>
  <si>
    <t>Sistemas</t>
  </si>
  <si>
    <t>Analista</t>
  </si>
  <si>
    <t>Brooklin</t>
  </si>
  <si>
    <t>Alberto Bonfim Gomes</t>
  </si>
  <si>
    <t>Jardim Europa</t>
  </si>
  <si>
    <t>Alberto Teodoro Rocha</t>
  </si>
  <si>
    <t>Alberto Macedo De Sá</t>
  </si>
  <si>
    <t>Pessoal</t>
  </si>
  <si>
    <t>Analista RH</t>
  </si>
  <si>
    <t>Jardins</t>
  </si>
  <si>
    <t>Gilson Fernandes Victor</t>
  </si>
  <si>
    <t>Arquitetura</t>
  </si>
  <si>
    <t>Arquiteto</t>
  </si>
  <si>
    <t>Morumbi</t>
  </si>
  <si>
    <t>Agenor Tanaka Victor</t>
  </si>
  <si>
    <t>Santo Amaro</t>
  </si>
  <si>
    <t>Cecilia Mello Raineri</t>
  </si>
  <si>
    <t>Fabio Lopes Meleiro</t>
  </si>
  <si>
    <t xml:space="preserve">Auxiliar </t>
  </si>
  <si>
    <t>Gilson Hernandez Pinho</t>
  </si>
  <si>
    <t>Gilson Teodoro Toledo</t>
  </si>
  <si>
    <t>Consultoria</t>
  </si>
  <si>
    <t>Consultor</t>
  </si>
  <si>
    <t>Antonio Mendonca Gomes</t>
  </si>
  <si>
    <t>Centro</t>
  </si>
  <si>
    <t>Cecilia Rosa Gastelar</t>
  </si>
  <si>
    <t>Ibirapuera</t>
  </si>
  <si>
    <t>Ivan Saad Magalhaes</t>
  </si>
  <si>
    <t>Jaime Amorim Bartira</t>
  </si>
  <si>
    <t>Ivan Prado Levy</t>
  </si>
  <si>
    <t>Administração</t>
  </si>
  <si>
    <t>Contador</t>
  </si>
  <si>
    <t>Antonio Alves Soares</t>
  </si>
  <si>
    <t>Itaim-Bibi</t>
  </si>
  <si>
    <t>Cristina Corneta Perneta</t>
  </si>
  <si>
    <t>Digitador</t>
  </si>
  <si>
    <t>Carlos Alberto Ramos Da Silva</t>
  </si>
  <si>
    <t>Marketing</t>
  </si>
  <si>
    <t>Diretor</t>
  </si>
  <si>
    <t>Ana Britto Kwong</t>
  </si>
  <si>
    <t>Ibirabuera</t>
  </si>
  <si>
    <t>Carlos Hernandez Brandao</t>
  </si>
  <si>
    <t>Antonio Salomao Assis</t>
  </si>
  <si>
    <t>Divulgador</t>
  </si>
  <si>
    <t>Pinheiros</t>
  </si>
  <si>
    <t>Diego Grileti Bianchini</t>
  </si>
  <si>
    <t>Encarregado</t>
  </si>
  <si>
    <t>Flavio Fernandes Montenegro</t>
  </si>
  <si>
    <t>Engenharia</t>
  </si>
  <si>
    <t>Engenheiro</t>
  </si>
  <si>
    <t>Frederico Dentini Estrela</t>
  </si>
  <si>
    <t>Carlos Vitela Bianchini</t>
  </si>
  <si>
    <t>Jardim Paulista</t>
  </si>
  <si>
    <t>Felipe Pacheco De Sa</t>
  </si>
  <si>
    <t>Alvaro Saad Braga</t>
  </si>
  <si>
    <t>Gerente</t>
  </si>
  <si>
    <t>Ana Mendes Silva</t>
  </si>
  <si>
    <t>Adao Ribeiro Berbel</t>
  </si>
  <si>
    <t>Frederico Malta Rachel</t>
  </si>
  <si>
    <t>Jornalista</t>
  </si>
  <si>
    <t>Helena Gomes Fonseca</t>
  </si>
  <si>
    <t>Helena Alves Ferrari</t>
  </si>
  <si>
    <t>Antonio Carlos Dentini De Sá</t>
  </si>
  <si>
    <t>Operador</t>
  </si>
  <si>
    <t>Gilson Pereira Rocha</t>
  </si>
  <si>
    <t>Programador</t>
  </si>
  <si>
    <t>Angelo Shibata Branco</t>
  </si>
  <si>
    <t>Cerqueira César</t>
  </si>
  <si>
    <t>Angelo Shibata Perneta</t>
  </si>
  <si>
    <t>Benedito Campos Ibata</t>
  </si>
  <si>
    <t>Helena Viana Oliveira</t>
  </si>
  <si>
    <t>Secretária</t>
  </si>
  <si>
    <t>Cassia Benelli Grillo</t>
  </si>
  <si>
    <t>Denise Mello Levy</t>
  </si>
  <si>
    <t>Cassia Malta Albano</t>
  </si>
  <si>
    <t>Denise Valente Barros</t>
  </si>
  <si>
    <t>Dario Fazzola Costa</t>
  </si>
  <si>
    <t>Cassia De Carvalho Da Costa</t>
  </si>
  <si>
    <t>Dario Ramos Costa</t>
  </si>
  <si>
    <t>Zoraide Benelli Farias</t>
  </si>
  <si>
    <t>Zoraide Campos Camelo</t>
  </si>
  <si>
    <t>Helena Paiva Hilario</t>
  </si>
  <si>
    <t>Fatima Lima Ferrari</t>
  </si>
  <si>
    <t>Dionisio Benelli Pavone</t>
  </si>
  <si>
    <t>Edson Noronha Morales</t>
  </si>
  <si>
    <t>Segurança</t>
  </si>
  <si>
    <t>Angelo Freitas Amorim</t>
  </si>
  <si>
    <t>Supervisor</t>
  </si>
  <si>
    <t>Bolivar Tadaka Machado</t>
  </si>
  <si>
    <t>Técnico</t>
  </si>
  <si>
    <t>Cecilia Britto Perneta</t>
  </si>
  <si>
    <t>Cristina Hidalgo Adegas</t>
  </si>
  <si>
    <t>Cicero Malta Seixas</t>
  </si>
  <si>
    <t>Benedito Keizo Salim</t>
  </si>
  <si>
    <t>Benedito Torres Almeida</t>
  </si>
  <si>
    <t>Dias de vendas</t>
  </si>
  <si>
    <t>Unidade</t>
  </si>
  <si>
    <t>Filial01</t>
  </si>
  <si>
    <t>Filial02</t>
  </si>
  <si>
    <t>Silvia</t>
  </si>
  <si>
    <t>Carla</t>
  </si>
  <si>
    <t>Filial03</t>
  </si>
  <si>
    <t>Angélica</t>
  </si>
  <si>
    <t>Tomás</t>
  </si>
  <si>
    <t>Cleber</t>
  </si>
  <si>
    <t>Flavia</t>
  </si>
  <si>
    <t>Região</t>
  </si>
  <si>
    <t>Produto</t>
  </si>
  <si>
    <t>Unidades</t>
  </si>
  <si>
    <t>Preço</t>
  </si>
  <si>
    <t>Total Vendas*</t>
  </si>
  <si>
    <t>Frete 3% *</t>
  </si>
  <si>
    <t>Valor com frete +</t>
  </si>
  <si>
    <t>valor unidade com frete /</t>
  </si>
  <si>
    <t>Total de Unidades</t>
  </si>
  <si>
    <t>Valor total de vendas</t>
  </si>
  <si>
    <t xml:space="preserve">Total  de cadeiras </t>
  </si>
  <si>
    <t>Norte</t>
  </si>
  <si>
    <t>Cadeira</t>
  </si>
  <si>
    <t>Sul</t>
  </si>
  <si>
    <t>Nordeste</t>
  </si>
  <si>
    <t>Mesa</t>
  </si>
  <si>
    <t>Sudeste</t>
  </si>
  <si>
    <t>Material</t>
  </si>
  <si>
    <t>Estoque</t>
  </si>
  <si>
    <t xml:space="preserve">venda dia anterior </t>
  </si>
  <si>
    <t>Sofá</t>
  </si>
  <si>
    <t>Escrivaninha</t>
  </si>
  <si>
    <t>Centro-Oeste</t>
  </si>
  <si>
    <t>Somase</t>
  </si>
  <si>
    <t>QNT. Vendidas</t>
  </si>
  <si>
    <t>Valor maximo de venda</t>
  </si>
  <si>
    <t>valor mínimo de venda</t>
  </si>
  <si>
    <t>Quantidade máxima de unidade</t>
  </si>
  <si>
    <t>Quantidade mínima de unidade</t>
  </si>
  <si>
    <t>Item</t>
  </si>
  <si>
    <t>Média</t>
  </si>
  <si>
    <t>Valor</t>
  </si>
  <si>
    <t>Desconto</t>
  </si>
  <si>
    <t>Resultado</t>
  </si>
  <si>
    <t>% de um valor</t>
  </si>
  <si>
    <t>%</t>
  </si>
  <si>
    <t>% de 2 valores</t>
  </si>
  <si>
    <t>Acrescimo</t>
  </si>
  <si>
    <t xml:space="preserve">Diminuir </t>
  </si>
  <si>
    <t>% da diferença</t>
  </si>
  <si>
    <t>Maio</t>
  </si>
  <si>
    <t>Junho</t>
  </si>
  <si>
    <t>Valor  + %</t>
  </si>
  <si>
    <t xml:space="preserve"> valor - %</t>
  </si>
  <si>
    <t xml:space="preserve">Variação </t>
  </si>
  <si>
    <t xml:space="preserve">FIXANDO TUDO </t>
  </si>
  <si>
    <t>Produto 1</t>
  </si>
  <si>
    <t>Produto 2</t>
  </si>
  <si>
    <t>Produto 3</t>
  </si>
  <si>
    <t>Produto 4</t>
  </si>
  <si>
    <t>Produto 5</t>
  </si>
  <si>
    <t xml:space="preserve">Incluir </t>
  </si>
  <si>
    <t xml:space="preserve">Valor </t>
  </si>
  <si>
    <t xml:space="preserve"> (%) </t>
  </si>
  <si>
    <t>LINHA FIXA ( travar linha )</t>
  </si>
  <si>
    <t xml:space="preserve"> (%) Acrescimo</t>
  </si>
  <si>
    <t>Coluna fixa ( TRAVAR COLUNA)</t>
  </si>
  <si>
    <t>Data abreviada</t>
  </si>
  <si>
    <t>DIA</t>
  </si>
  <si>
    <t>MÊS</t>
  </si>
  <si>
    <t>ANO</t>
  </si>
  <si>
    <t>DATA</t>
  </si>
  <si>
    <t>DATA (+30 dias)</t>
  </si>
  <si>
    <t>Pagamento</t>
  </si>
  <si>
    <t xml:space="preserve">Dias faltantes </t>
  </si>
  <si>
    <t>Hoje</t>
  </si>
  <si>
    <t>Sistemas de logitica</t>
  </si>
  <si>
    <t>Sistemas de logitica de logitica</t>
  </si>
  <si>
    <t>MAIÚSCULA</t>
  </si>
  <si>
    <t>MINUSCULA</t>
  </si>
  <si>
    <t xml:space="preserve">Primeira maiscula </t>
  </si>
  <si>
    <t>Gilson FerNAndes Victor</t>
  </si>
  <si>
    <t>felipe Grileti Pinotti</t>
  </si>
  <si>
    <t>ivan Saad Magalhaes</t>
  </si>
  <si>
    <t>Gilson Teodoro TOLEDO</t>
  </si>
  <si>
    <t>Fabio LOPES Meleiro</t>
  </si>
  <si>
    <t xml:space="preserve">Nome </t>
  </si>
  <si>
    <t>Sobrenome</t>
  </si>
  <si>
    <t>Nome completo</t>
  </si>
  <si>
    <t>Marta</t>
  </si>
  <si>
    <t>Silva</t>
  </si>
  <si>
    <t>josé</t>
  </si>
  <si>
    <t>Lopes</t>
  </si>
  <si>
    <t>Sempre que for usar palavras em uma formula usar a palavra entre aspas  EX:"PALAVRA"</t>
  </si>
  <si>
    <t>marcos</t>
  </si>
  <si>
    <t>Santos</t>
  </si>
  <si>
    <t>Sempre que for usa espaço  em uma formula usar a palavra entre aspas  EX:" "</t>
  </si>
  <si>
    <t>Time</t>
  </si>
  <si>
    <t>Palavra Time + nome do time</t>
  </si>
  <si>
    <t>Atletico MG</t>
  </si>
  <si>
    <t>Cruzeiro</t>
  </si>
  <si>
    <t>usando &amp;</t>
  </si>
  <si>
    <t>&amp;</t>
  </si>
  <si>
    <t xml:space="preserve">Rua </t>
  </si>
  <si>
    <t>numero</t>
  </si>
  <si>
    <t>Endereço completo</t>
  </si>
  <si>
    <t>Ladeira</t>
  </si>
  <si>
    <t>Alameda</t>
  </si>
  <si>
    <t>Função Agora</t>
  </si>
  <si>
    <t>Descrição</t>
  </si>
  <si>
    <t>Fórmulas Usadas</t>
  </si>
  <si>
    <t>Retorna a data e a hora atuais.</t>
  </si>
  <si>
    <t>Retorna a data e a hora 15 dias no futuro.</t>
  </si>
  <si>
    <t>2 dias e 8 horas para frente a partir de agora</t>
  </si>
  <si>
    <t>Hora abreviada</t>
  </si>
  <si>
    <t>HORA</t>
  </si>
  <si>
    <t>MINUTO</t>
  </si>
  <si>
    <t>SEGUNDO</t>
  </si>
  <si>
    <t>TEMPO</t>
  </si>
  <si>
    <t>Para inserir a data atual, pressione Ctrl+; (ponto-e-vírgula).</t>
  </si>
  <si>
    <t>Para inserir a hora atual, pressione Ctrl+Shift+; (ponto-e-vírgula).</t>
  </si>
  <si>
    <t>Para inserir a data e hora atuais, pressione Ctrl+; (ponto-e-vírgula), depois pressione Espaço e então Ctrl+Shift+; (ponto-e-vírgula).</t>
  </si>
  <si>
    <t>Atalhos</t>
  </si>
  <si>
    <t>Data/Hora Atual</t>
  </si>
  <si>
    <t/>
  </si>
  <si>
    <t>Total venda</t>
  </si>
  <si>
    <t>Frete 3%</t>
  </si>
  <si>
    <t>Valor com frete</t>
  </si>
  <si>
    <t>valor unidade com frete</t>
  </si>
  <si>
    <t>Valor maximo de Frete 3%</t>
  </si>
  <si>
    <t>valor mínimo de Frete 3%</t>
  </si>
  <si>
    <t>Retorna a data com 12 horas de atraso.</t>
  </si>
  <si>
    <t>Retorna a data e a hora 2 dias e 6 horas atrás.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</si>
</sst>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[$R$-416]\ * #,##0.00_-;\-[$R$-416]\ * #,##0.00_-;_-[$R$-416]\ * &quot;-&quot;??_-;_-@_-"/>
    <numFmt numFmtId="166" formatCode="_-* #,##0_-;\-* #,##0_-;_-* &quot;-&quot;??_-;_-@_-"/>
    <numFmt numFmtId="167" formatCode="_(* #,##0_);_(* \(#,##0\);_(* &quot;-&quot;??_);_(@_)"/>
    <numFmt numFmtId="168" formatCode="[$-F400]h:mm:ss\ AM/PM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indexed="81"/>
      <name val="Segoe UI"/>
      <family val="2"/>
    </font>
    <font>
      <sz val="14"/>
      <color rgb="FF333333"/>
      <name val="Arial"/>
      <family val="2"/>
    </font>
    <font>
      <b/>
      <sz val="9"/>
      <color indexed="81"/>
      <name val="Segoe UI"/>
      <family val="2"/>
    </font>
    <font>
      <sz val="11"/>
      <color rgb="FF1E1E1E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B2B2B2"/>
      </bottom>
      <diagonal/>
    </border>
    <border>
      <left/>
      <right style="medium">
        <color indexed="64"/>
      </right>
      <top style="thin">
        <color rgb="FFB2B2B2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E4E4E4"/>
      </left>
      <right style="medium">
        <color rgb="FFCECECE"/>
      </right>
      <top style="medium">
        <color rgb="FFE4E4E4"/>
      </top>
      <bottom style="medium">
        <color rgb="FFCECECE"/>
      </bottom>
      <diagonal/>
    </border>
    <border>
      <left/>
      <right style="medium">
        <color rgb="FFE4E4E4"/>
      </right>
      <top style="medium">
        <color rgb="FFE4E4E4"/>
      </top>
      <bottom/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 style="medium">
        <color rgb="FFE4E4E4"/>
      </right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E4E4E4"/>
      </bottom>
      <diagonal/>
    </border>
    <border>
      <left style="medium">
        <color rgb="FFCECECE"/>
      </left>
      <right style="medium">
        <color rgb="FFE4E4E4"/>
      </right>
      <top style="medium">
        <color rgb="FFCECECE"/>
      </top>
      <bottom style="medium">
        <color rgb="FFE4E4E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3" borderId="2" applyNumberFormat="0" applyFont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/>
    <xf numFmtId="1" fontId="7" fillId="0" borderId="1" xfId="3" applyNumberFormat="1" applyFont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44" fontId="3" fillId="0" borderId="0" xfId="3" applyFont="1" applyAlignment="1">
      <alignment horizontal="center" vertical="center"/>
    </xf>
    <xf numFmtId="0" fontId="3" fillId="0" borderId="0" xfId="2" applyNumberFormat="1" applyFont="1" applyAlignment="1">
      <alignment horizontal="center" vertical="center"/>
    </xf>
    <xf numFmtId="9" fontId="0" fillId="0" borderId="0" xfId="0" applyNumberFormat="1"/>
    <xf numFmtId="165" fontId="0" fillId="0" borderId="0" xfId="0" applyNumberFormat="1"/>
    <xf numFmtId="0" fontId="4" fillId="4" borderId="0" xfId="0" applyFont="1" applyFill="1" applyAlignment="1">
      <alignment horizontal="center" vertical="center"/>
    </xf>
    <xf numFmtId="0" fontId="0" fillId="4" borderId="0" xfId="0" applyFill="1"/>
    <xf numFmtId="0" fontId="3" fillId="5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44" fontId="4" fillId="0" borderId="1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4" fontId="3" fillId="0" borderId="7" xfId="3" applyFont="1" applyBorder="1" applyAlignment="1">
      <alignment horizontal="center" vertical="center"/>
    </xf>
    <xf numFmtId="44" fontId="3" fillId="0" borderId="7" xfId="0" applyNumberFormat="1" applyFont="1" applyBorder="1" applyAlignment="1">
      <alignment horizontal="center" vertical="center"/>
    </xf>
    <xf numFmtId="44" fontId="4" fillId="3" borderId="9" xfId="4" applyNumberFormat="1" applyFont="1" applyBorder="1" applyAlignment="1">
      <alignment horizontal="center" vertical="center"/>
    </xf>
    <xf numFmtId="166" fontId="4" fillId="3" borderId="10" xfId="2" applyNumberFormat="1" applyFont="1" applyFill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3" fillId="0" borderId="1" xfId="3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44" fontId="4" fillId="0" borderId="3" xfId="0" applyNumberFormat="1" applyFont="1" applyBorder="1" applyAlignment="1">
      <alignment horizontal="center" vertical="center"/>
    </xf>
    <xf numFmtId="44" fontId="4" fillId="0" borderId="4" xfId="0" applyNumberFormat="1" applyFont="1" applyBorder="1" applyAlignment="1">
      <alignment horizontal="center" vertical="center"/>
    </xf>
    <xf numFmtId="44" fontId="4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66" fontId="4" fillId="3" borderId="1" xfId="2" applyNumberFormat="1" applyFont="1" applyFill="1" applyBorder="1" applyAlignment="1">
      <alignment vertical="center"/>
    </xf>
    <xf numFmtId="44" fontId="3" fillId="0" borderId="0" xfId="0" applyNumberFormat="1" applyFont="1" applyAlignment="1">
      <alignment vertical="center"/>
    </xf>
    <xf numFmtId="167" fontId="4" fillId="3" borderId="8" xfId="5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6" fontId="4" fillId="3" borderId="18" xfId="2" applyNumberFormat="1" applyFont="1" applyFill="1" applyBorder="1" applyAlignment="1">
      <alignment horizontal="center"/>
    </xf>
    <xf numFmtId="166" fontId="4" fillId="3" borderId="19" xfId="2" applyNumberFormat="1" applyFont="1" applyFill="1" applyBorder="1" applyAlignment="1">
      <alignment horizontal="center"/>
    </xf>
    <xf numFmtId="0" fontId="4" fillId="7" borderId="17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4" fontId="4" fillId="3" borderId="18" xfId="3" applyFont="1" applyFill="1" applyBorder="1" applyAlignment="1">
      <alignment horizontal="center"/>
    </xf>
    <xf numFmtId="44" fontId="4" fillId="3" borderId="6" xfId="3" applyFont="1" applyFill="1" applyBorder="1" applyAlignment="1">
      <alignment horizontal="center"/>
    </xf>
    <xf numFmtId="165" fontId="4" fillId="3" borderId="18" xfId="2" applyNumberFormat="1" applyFont="1" applyFill="1" applyBorder="1" applyAlignment="1">
      <alignment horizontal="center"/>
    </xf>
    <xf numFmtId="165" fontId="4" fillId="3" borderId="19" xfId="2" applyNumberFormat="1" applyFont="1" applyFill="1" applyBorder="1" applyAlignment="1">
      <alignment horizontal="center"/>
    </xf>
    <xf numFmtId="0" fontId="10" fillId="0" borderId="0" xfId="0" applyFont="1"/>
    <xf numFmtId="0" fontId="12" fillId="8" borderId="1" xfId="0" applyFont="1" applyFill="1" applyBorder="1"/>
    <xf numFmtId="0" fontId="12" fillId="8" borderId="1" xfId="0" applyFont="1" applyFill="1" applyBorder="1" applyAlignment="1">
      <alignment horizontal="center" vertical="center"/>
    </xf>
    <xf numFmtId="44" fontId="10" fillId="0" borderId="1" xfId="3" applyFont="1" applyBorder="1"/>
    <xf numFmtId="9" fontId="10" fillId="0" borderId="1" xfId="1" applyFont="1" applyBorder="1" applyAlignment="1">
      <alignment horizontal="center" vertical="center"/>
    </xf>
    <xf numFmtId="0" fontId="0" fillId="0" borderId="0" xfId="0" applyAlignment="1">
      <alignment wrapText="1"/>
    </xf>
    <xf numFmtId="44" fontId="10" fillId="0" borderId="1" xfId="3" applyFont="1" applyBorder="1" applyAlignment="1">
      <alignment horizontal="center" vertical="center"/>
    </xf>
    <xf numFmtId="9" fontId="10" fillId="0" borderId="1" xfId="1" applyFont="1" applyBorder="1"/>
    <xf numFmtId="44" fontId="10" fillId="0" borderId="0" xfId="0" applyNumberFormat="1" applyFont="1" applyAlignment="1">
      <alignment horizontal="center" vertical="center"/>
    </xf>
    <xf numFmtId="9" fontId="10" fillId="0" borderId="0" xfId="1" applyFont="1"/>
    <xf numFmtId="9" fontId="10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0" fillId="0" borderId="0" xfId="1" applyFont="1"/>
    <xf numFmtId="0" fontId="14" fillId="0" borderId="0" xfId="0" applyFont="1"/>
    <xf numFmtId="0" fontId="15" fillId="0" borderId="0" xfId="0" applyFont="1"/>
    <xf numFmtId="9" fontId="10" fillId="0" borderId="1" xfId="0" applyNumberFormat="1" applyFont="1" applyBorder="1"/>
    <xf numFmtId="0" fontId="16" fillId="0" borderId="0" xfId="0" applyFont="1"/>
    <xf numFmtId="0" fontId="16" fillId="9" borderId="0" xfId="0" applyFont="1" applyFill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17" fontId="13" fillId="11" borderId="22" xfId="0" applyNumberFormat="1" applyFont="1" applyFill="1" applyBorder="1" applyAlignment="1">
      <alignment horizontal="center" vertical="center"/>
    </xf>
    <xf numFmtId="17" fontId="13" fillId="11" borderId="23" xfId="0" applyNumberFormat="1" applyFont="1" applyFill="1" applyBorder="1" applyAlignment="1">
      <alignment horizontal="center" vertical="center"/>
    </xf>
    <xf numFmtId="0" fontId="11" fillId="6" borderId="0" xfId="0" applyFont="1" applyFill="1"/>
    <xf numFmtId="0" fontId="2" fillId="12" borderId="27" xfId="0" applyFont="1" applyFill="1" applyBorder="1" applyAlignment="1">
      <alignment horizontal="center" vertical="center"/>
    </xf>
    <xf numFmtId="44" fontId="0" fillId="12" borderId="0" xfId="6" applyFont="1" applyFill="1" applyBorder="1" applyAlignment="1">
      <alignment horizontal="center" vertical="center"/>
    </xf>
    <xf numFmtId="44" fontId="0" fillId="12" borderId="28" xfId="6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44" fontId="0" fillId="0" borderId="0" xfId="6" applyFont="1" applyBorder="1" applyAlignment="1">
      <alignment horizontal="center" vertical="center"/>
    </xf>
    <xf numFmtId="44" fontId="0" fillId="0" borderId="28" xfId="6" applyFont="1" applyBorder="1" applyAlignment="1">
      <alignment horizontal="center" vertical="center"/>
    </xf>
    <xf numFmtId="0" fontId="2" fillId="12" borderId="24" xfId="0" applyFont="1" applyFill="1" applyBorder="1" applyAlignment="1">
      <alignment horizontal="center" vertical="center"/>
    </xf>
    <xf numFmtId="44" fontId="0" fillId="12" borderId="25" xfId="6" applyFont="1" applyFill="1" applyBorder="1" applyAlignment="1">
      <alignment horizontal="center" vertical="center"/>
    </xf>
    <xf numFmtId="44" fontId="0" fillId="12" borderId="26" xfId="6" applyFont="1" applyFill="1" applyBorder="1" applyAlignment="1">
      <alignment horizontal="center" vertical="center"/>
    </xf>
    <xf numFmtId="0" fontId="16" fillId="9" borderId="0" xfId="0" applyFont="1" applyFill="1"/>
    <xf numFmtId="0" fontId="0" fillId="9" borderId="0" xfId="0" applyFill="1"/>
    <xf numFmtId="0" fontId="13" fillId="13" borderId="29" xfId="0" applyFont="1" applyFill="1" applyBorder="1" applyAlignment="1">
      <alignment horizontal="center" vertical="center"/>
    </xf>
    <xf numFmtId="9" fontId="17" fillId="9" borderId="6" xfId="0" applyNumberFormat="1" applyFont="1" applyFill="1" applyBorder="1" applyAlignment="1">
      <alignment horizontal="center" vertical="center"/>
    </xf>
    <xf numFmtId="0" fontId="16" fillId="9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27" xfId="0" applyBorder="1"/>
    <xf numFmtId="0" fontId="0" fillId="0" borderId="28" xfId="0" applyBorder="1"/>
    <xf numFmtId="0" fontId="2" fillId="10" borderId="27" xfId="0" applyFont="1" applyFill="1" applyBorder="1" applyAlignment="1">
      <alignment horizontal="center" vertical="center"/>
    </xf>
    <xf numFmtId="9" fontId="0" fillId="10" borderId="0" xfId="0" applyNumberFormat="1" applyFill="1" applyAlignment="1">
      <alignment horizontal="center" vertical="center"/>
    </xf>
    <xf numFmtId="9" fontId="0" fillId="10" borderId="28" xfId="0" applyNumberForma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24" xfId="0" applyBorder="1"/>
    <xf numFmtId="0" fontId="13" fillId="14" borderId="21" xfId="0" applyFont="1" applyFill="1" applyBorder="1" applyAlignment="1">
      <alignment horizontal="center" vertical="center"/>
    </xf>
    <xf numFmtId="0" fontId="13" fillId="14" borderId="22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3" fillId="11" borderId="23" xfId="0" applyFont="1" applyFill="1" applyBorder="1" applyAlignment="1">
      <alignment horizontal="center" vertical="center"/>
    </xf>
    <xf numFmtId="17" fontId="11" fillId="12" borderId="27" xfId="0" applyNumberFormat="1" applyFont="1" applyFill="1" applyBorder="1" applyAlignment="1">
      <alignment horizontal="center" vertical="center"/>
    </xf>
    <xf numFmtId="17" fontId="11" fillId="0" borderId="27" xfId="0" applyNumberFormat="1" applyFont="1" applyBorder="1" applyAlignment="1">
      <alignment horizontal="center" vertical="center"/>
    </xf>
    <xf numFmtId="17" fontId="11" fillId="0" borderId="24" xfId="0" applyNumberFormat="1" applyFont="1" applyBorder="1" applyAlignment="1">
      <alignment horizontal="center" vertical="center"/>
    </xf>
    <xf numFmtId="9" fontId="0" fillId="10" borderId="25" xfId="0" applyNumberForma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44" fontId="3" fillId="0" borderId="1" xfId="6" applyFont="1" applyBorder="1" applyAlignment="1">
      <alignment horizontal="center"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6" borderId="0" xfId="0" applyFont="1" applyFill="1"/>
    <xf numFmtId="0" fontId="19" fillId="0" borderId="30" xfId="0" applyFont="1" applyBorder="1" applyAlignment="1">
      <alignment horizontal="left"/>
    </xf>
    <xf numFmtId="0" fontId="0" fillId="0" borderId="31" xfId="0" applyBorder="1"/>
    <xf numFmtId="0" fontId="19" fillId="0" borderId="32" xfId="0" applyFont="1" applyBorder="1" applyAlignment="1">
      <alignment horizontal="left"/>
    </xf>
    <xf numFmtId="0" fontId="19" fillId="0" borderId="33" xfId="0" applyFont="1" applyBorder="1" applyAlignment="1">
      <alignment horizontal="left"/>
    </xf>
    <xf numFmtId="22" fontId="19" fillId="0" borderId="33" xfId="0" applyNumberFormat="1" applyFont="1" applyBorder="1" applyAlignment="1">
      <alignment horizontal="left"/>
    </xf>
    <xf numFmtId="22" fontId="0" fillId="0" borderId="0" xfId="0" applyNumberFormat="1"/>
    <xf numFmtId="0" fontId="19" fillId="0" borderId="34" xfId="0" applyFont="1" applyBorder="1" applyAlignment="1">
      <alignment horizontal="left"/>
    </xf>
    <xf numFmtId="22" fontId="19" fillId="0" borderId="35" xfId="0" applyNumberFormat="1" applyFont="1" applyBorder="1" applyAlignment="1">
      <alignment horizontal="left"/>
    </xf>
    <xf numFmtId="22" fontId="0" fillId="0" borderId="0" xfId="0" applyNumberFormat="1" applyAlignment="1">
      <alignment horizontal="center"/>
    </xf>
    <xf numFmtId="14" fontId="0" fillId="0" borderId="0" xfId="0" applyNumberFormat="1"/>
    <xf numFmtId="2" fontId="0" fillId="0" borderId="0" xfId="1" applyNumberFormat="1" applyFont="1"/>
    <xf numFmtId="21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vertical="center"/>
    </xf>
    <xf numFmtId="0" fontId="21" fillId="0" borderId="0" xfId="0" applyFont="1" applyAlignment="1">
      <alignment horizontal="left" indent="2"/>
    </xf>
    <xf numFmtId="20" fontId="0" fillId="0" borderId="0" xfId="0" applyNumberFormat="1"/>
    <xf numFmtId="0" fontId="0" fillId="0" borderId="0" xfId="0" quotePrefix="1"/>
    <xf numFmtId="10" fontId="10" fillId="0" borderId="1" xfId="1" applyNumberFormat="1" applyFont="1" applyBorder="1" applyAlignment="1">
      <alignment horizontal="center" vertical="center"/>
    </xf>
    <xf numFmtId="13" fontId="0" fillId="0" borderId="0" xfId="0" applyNumberFormat="1"/>
    <xf numFmtId="0" fontId="11" fillId="6" borderId="2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9" borderId="0" xfId="0" applyFont="1" applyFill="1" applyBorder="1" applyAlignment="1">
      <alignment horizontal="center" vertical="center"/>
    </xf>
    <xf numFmtId="22" fontId="19" fillId="0" borderId="0" xfId="0" applyNumberFormat="1" applyFont="1" applyBorder="1" applyAlignment="1">
      <alignment horizontal="left"/>
    </xf>
  </cellXfs>
  <cellStyles count="7">
    <cellStyle name="Moeda" xfId="6" builtinId="4"/>
    <cellStyle name="Moeda 2" xfId="3" xr:uid="{89B43684-B514-4ED6-9C16-1037EB5910D5}"/>
    <cellStyle name="Normal" xfId="0" builtinId="0"/>
    <cellStyle name="Nota" xfId="4" builtinId="10"/>
    <cellStyle name="Porcentagem" xfId="1" builtinId="5"/>
    <cellStyle name="Vírgula" xfId="5" builtinId="3"/>
    <cellStyle name="Vírgula 2" xfId="2" xr:uid="{2747441C-6CC9-413E-90F7-764676A9D924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</xdr:colOff>
      <xdr:row>3</xdr:row>
      <xdr:rowOff>0</xdr:rowOff>
    </xdr:from>
    <xdr:to>
      <xdr:col>14</xdr:col>
      <xdr:colOff>571500</xdr:colOff>
      <xdr:row>14</xdr:row>
      <xdr:rowOff>28575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58FA4A1-2D6C-432B-9976-3E2FA870B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91225" y="1657350"/>
          <a:ext cx="4733925" cy="2124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F0BD-31D5-4FB2-9810-4C71222F35C2}">
  <dimension ref="B3:I29"/>
  <sheetViews>
    <sheetView showGridLines="0" tabSelected="1" zoomScaleNormal="100" workbookViewId="0">
      <selection activeCell="J25" sqref="J25"/>
    </sheetView>
  </sheetViews>
  <sheetFormatPr defaultRowHeight="15.75" x14ac:dyDescent="0.25"/>
  <cols>
    <col min="2" max="2" width="8.85546875" style="3" bestFit="1" customWidth="1"/>
    <col min="3" max="3" width="12.28515625" style="3" customWidth="1"/>
    <col min="4" max="4" width="18" style="3" customWidth="1"/>
    <col min="5" max="5" width="14.42578125" style="3" customWidth="1"/>
    <col min="6" max="6" width="16.42578125" style="3" customWidth="1"/>
  </cols>
  <sheetData>
    <row r="3" spans="2:9" ht="99" customHeight="1" x14ac:dyDescent="0.25"/>
    <row r="4" spans="2:9" ht="15" x14ac:dyDescent="0.25">
      <c r="B4" s="4" t="s">
        <v>1</v>
      </c>
      <c r="C4" s="5" t="s">
        <v>2</v>
      </c>
      <c r="D4" s="6" t="s">
        <v>3</v>
      </c>
      <c r="E4" s="5" t="s">
        <v>4</v>
      </c>
      <c r="F4" s="5" t="s">
        <v>5</v>
      </c>
    </row>
    <row r="5" spans="2:9" ht="15" x14ac:dyDescent="0.25">
      <c r="B5" s="7" t="s">
        <v>6</v>
      </c>
      <c r="C5" s="8">
        <f ca="1">RANDBETWEEN(100,1000)</f>
        <v>589</v>
      </c>
      <c r="D5" s="9">
        <v>0.3</v>
      </c>
      <c r="E5" s="10">
        <v>44287</v>
      </c>
      <c r="F5" s="10">
        <v>11996454123</v>
      </c>
    </row>
    <row r="6" spans="2:9" ht="15" x14ac:dyDescent="0.25">
      <c r="B6" s="7" t="s">
        <v>7</v>
      </c>
      <c r="C6" s="8">
        <f t="shared" ref="C6:C14" ca="1" si="0">RANDBETWEEN(100,1000)</f>
        <v>583</v>
      </c>
      <c r="D6" s="9">
        <v>0.2</v>
      </c>
      <c r="E6" s="10">
        <v>43895</v>
      </c>
      <c r="F6" s="10">
        <v>11996454123</v>
      </c>
    </row>
    <row r="7" spans="2:9" ht="15" x14ac:dyDescent="0.25">
      <c r="B7" s="7" t="s">
        <v>8</v>
      </c>
      <c r="C7" s="8">
        <f t="shared" ca="1" si="0"/>
        <v>834</v>
      </c>
      <c r="D7" s="9">
        <v>0.1</v>
      </c>
      <c r="E7" s="10">
        <v>45010</v>
      </c>
      <c r="F7" s="10">
        <v>11996454123</v>
      </c>
    </row>
    <row r="8" spans="2:9" ht="15" x14ac:dyDescent="0.25">
      <c r="B8" s="7" t="s">
        <v>9</v>
      </c>
      <c r="C8" s="8">
        <f t="shared" ca="1" si="0"/>
        <v>197</v>
      </c>
      <c r="D8" s="9">
        <v>0.16</v>
      </c>
      <c r="E8" s="10">
        <v>44287</v>
      </c>
      <c r="F8" s="10">
        <v>11996454123</v>
      </c>
    </row>
    <row r="9" spans="2:9" ht="15" x14ac:dyDescent="0.25">
      <c r="B9" s="7" t="s">
        <v>10</v>
      </c>
      <c r="C9" s="8">
        <f t="shared" ca="1" si="0"/>
        <v>600</v>
      </c>
      <c r="D9" s="9">
        <v>0.25</v>
      </c>
      <c r="E9" s="10">
        <v>43895</v>
      </c>
      <c r="F9" s="10">
        <v>11996454123</v>
      </c>
    </row>
    <row r="10" spans="2:9" ht="15" x14ac:dyDescent="0.25">
      <c r="B10" s="7" t="s">
        <v>11</v>
      </c>
      <c r="C10" s="8">
        <f t="shared" ca="1" si="0"/>
        <v>137</v>
      </c>
      <c r="D10" s="9">
        <v>0.16</v>
      </c>
      <c r="E10" s="10">
        <v>45010</v>
      </c>
      <c r="F10" s="10">
        <v>11996454123</v>
      </c>
    </row>
    <row r="11" spans="2:9" ht="15" x14ac:dyDescent="0.25">
      <c r="B11" s="7" t="s">
        <v>0</v>
      </c>
      <c r="C11" s="8">
        <f t="shared" ca="1" si="0"/>
        <v>586</v>
      </c>
      <c r="D11" s="9">
        <v>0.14599999999999999</v>
      </c>
      <c r="E11" s="10">
        <v>44287</v>
      </c>
      <c r="F11" s="10">
        <v>11996454123</v>
      </c>
    </row>
    <row r="12" spans="2:9" ht="15" x14ac:dyDescent="0.25">
      <c r="B12" s="7" t="s">
        <v>12</v>
      </c>
      <c r="C12" s="8">
        <f t="shared" ca="1" si="0"/>
        <v>643</v>
      </c>
      <c r="D12" s="9">
        <v>0.13200000000000001</v>
      </c>
      <c r="E12" s="10">
        <v>43895</v>
      </c>
      <c r="F12" s="10">
        <v>11996454123</v>
      </c>
    </row>
    <row r="13" spans="2:9" ht="15" x14ac:dyDescent="0.25">
      <c r="B13" s="7" t="s">
        <v>13</v>
      </c>
      <c r="C13" s="8">
        <f t="shared" ca="1" si="0"/>
        <v>523</v>
      </c>
      <c r="D13" s="9">
        <v>0.11799999999999999</v>
      </c>
      <c r="E13" s="10">
        <v>45010</v>
      </c>
      <c r="F13" s="10">
        <v>11996454123</v>
      </c>
    </row>
    <row r="14" spans="2:9" ht="15" x14ac:dyDescent="0.25">
      <c r="B14" s="7" t="s">
        <v>14</v>
      </c>
      <c r="C14" s="8">
        <f t="shared" ca="1" si="0"/>
        <v>869</v>
      </c>
      <c r="D14" s="9">
        <v>0.104</v>
      </c>
      <c r="E14" s="10">
        <v>44287</v>
      </c>
      <c r="F14" s="10">
        <v>11996454123</v>
      </c>
    </row>
    <row r="16" spans="2:9" ht="15" x14ac:dyDescent="0.25">
      <c r="B16"/>
      <c r="C16"/>
      <c r="D16"/>
      <c r="E16"/>
      <c r="F16"/>
    </row>
    <row r="17" customFormat="1" ht="15" x14ac:dyDescent="0.25"/>
    <row r="18" customFormat="1" ht="15" x14ac:dyDescent="0.25"/>
    <row r="19" customFormat="1" ht="15" x14ac:dyDescent="0.25"/>
    <row r="20" customFormat="1" ht="15" x14ac:dyDescent="0.25"/>
    <row r="21" customFormat="1" ht="15" x14ac:dyDescent="0.25"/>
    <row r="22" customFormat="1" ht="15" x14ac:dyDescent="0.25"/>
    <row r="23" customFormat="1" ht="15" x14ac:dyDescent="0.25"/>
    <row r="24" customFormat="1" ht="15" x14ac:dyDescent="0.25"/>
    <row r="25" customFormat="1" ht="15" x14ac:dyDescent="0.25"/>
    <row r="26" customFormat="1" ht="15" x14ac:dyDescent="0.25"/>
    <row r="27" customFormat="1" ht="15" x14ac:dyDescent="0.25"/>
    <row r="28" customFormat="1" ht="15" x14ac:dyDescent="0.25"/>
    <row r="29" customFormat="1" ht="15" x14ac:dyDescent="0.25"/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A503-F35E-4B9E-AA5A-815F2A15B049}">
  <dimension ref="A1:F132"/>
  <sheetViews>
    <sheetView zoomScale="90" zoomScaleNormal="90" workbookViewId="0">
      <selection activeCell="E21" sqref="E21"/>
    </sheetView>
  </sheetViews>
  <sheetFormatPr defaultRowHeight="15" x14ac:dyDescent="0.25"/>
  <cols>
    <col min="1" max="1" width="29.7109375" bestFit="1" customWidth="1"/>
    <col min="2" max="2" width="14.42578125" bestFit="1" customWidth="1"/>
    <col min="3" max="3" width="12.5703125" bestFit="1" customWidth="1"/>
    <col min="4" max="4" width="15.140625" bestFit="1" customWidth="1"/>
    <col min="5" max="5" width="13.5703125" bestFit="1" customWidth="1"/>
    <col min="6" max="6" width="10.7109375" bestFit="1" customWidth="1"/>
  </cols>
  <sheetData>
    <row r="1" spans="1:6" ht="15.75" x14ac:dyDescent="0.25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  <c r="F1" s="14"/>
    </row>
    <row r="2" spans="1:6" ht="15.75" x14ac:dyDescent="0.25">
      <c r="A2" s="1" t="s">
        <v>20</v>
      </c>
      <c r="B2" s="1" t="s">
        <v>21</v>
      </c>
      <c r="C2" s="1" t="s">
        <v>22</v>
      </c>
      <c r="D2" s="1" t="s">
        <v>23</v>
      </c>
      <c r="E2" s="12">
        <v>1360.625</v>
      </c>
      <c r="F2" s="15"/>
    </row>
    <row r="3" spans="1:6" ht="15.75" x14ac:dyDescent="0.25">
      <c r="A3" s="1" t="s">
        <v>24</v>
      </c>
      <c r="B3" s="1" t="s">
        <v>21</v>
      </c>
      <c r="C3" s="1" t="s">
        <v>22</v>
      </c>
      <c r="D3" s="1" t="s">
        <v>25</v>
      </c>
      <c r="E3" s="12">
        <v>2143.75</v>
      </c>
      <c r="F3" s="15"/>
    </row>
    <row r="4" spans="1:6" ht="15.75" x14ac:dyDescent="0.25">
      <c r="A4" s="1" t="s">
        <v>26</v>
      </c>
      <c r="B4" s="1" t="s">
        <v>21</v>
      </c>
      <c r="C4" s="1" t="s">
        <v>22</v>
      </c>
      <c r="D4" s="1" t="s">
        <v>25</v>
      </c>
      <c r="E4" s="12">
        <v>1080.625</v>
      </c>
      <c r="F4" s="15"/>
    </row>
    <row r="5" spans="1:6" ht="15.75" x14ac:dyDescent="0.25">
      <c r="A5" s="1" t="s">
        <v>27</v>
      </c>
      <c r="B5" s="1" t="s">
        <v>28</v>
      </c>
      <c r="C5" s="1" t="s">
        <v>29</v>
      </c>
      <c r="D5" s="1" t="s">
        <v>30</v>
      </c>
      <c r="E5" s="12">
        <v>586.25</v>
      </c>
      <c r="F5" s="15"/>
    </row>
    <row r="6" spans="1:6" ht="15.75" x14ac:dyDescent="0.25">
      <c r="A6" s="1" t="s">
        <v>31</v>
      </c>
      <c r="B6" s="1" t="s">
        <v>32</v>
      </c>
      <c r="C6" s="1" t="s">
        <v>33</v>
      </c>
      <c r="D6" s="1" t="s">
        <v>34</v>
      </c>
      <c r="E6" s="12">
        <v>793.75</v>
      </c>
      <c r="F6" s="15"/>
    </row>
    <row r="7" spans="1:6" ht="15.75" x14ac:dyDescent="0.25">
      <c r="A7" s="1" t="s">
        <v>35</v>
      </c>
      <c r="B7" s="1" t="s">
        <v>32</v>
      </c>
      <c r="C7" s="1" t="s">
        <v>33</v>
      </c>
      <c r="D7" s="1" t="s">
        <v>36</v>
      </c>
      <c r="E7" s="12">
        <v>793.75</v>
      </c>
      <c r="F7" s="15"/>
    </row>
    <row r="8" spans="1:6" ht="15.75" x14ac:dyDescent="0.25">
      <c r="A8" s="1" t="s">
        <v>37</v>
      </c>
      <c r="B8" s="1" t="s">
        <v>32</v>
      </c>
      <c r="C8" s="1" t="s">
        <v>33</v>
      </c>
      <c r="D8" s="1" t="s">
        <v>36</v>
      </c>
      <c r="E8" s="12">
        <v>1335</v>
      </c>
      <c r="F8" s="15"/>
    </row>
    <row r="9" spans="1:6" ht="15.75" x14ac:dyDescent="0.25">
      <c r="A9" s="1" t="s">
        <v>38</v>
      </c>
      <c r="B9" s="1" t="s">
        <v>28</v>
      </c>
      <c r="C9" s="1" t="s">
        <v>39</v>
      </c>
      <c r="D9" s="1" t="s">
        <v>23</v>
      </c>
      <c r="E9" s="12">
        <v>532.5</v>
      </c>
      <c r="F9" s="15"/>
    </row>
    <row r="10" spans="1:6" ht="15.75" x14ac:dyDescent="0.25">
      <c r="A10" s="1" t="s">
        <v>40</v>
      </c>
      <c r="B10" s="1" t="s">
        <v>28</v>
      </c>
      <c r="C10" s="1" t="s">
        <v>39</v>
      </c>
      <c r="D10" s="1" t="s">
        <v>23</v>
      </c>
      <c r="E10" s="12">
        <v>643.75</v>
      </c>
      <c r="F10" s="15"/>
    </row>
    <row r="11" spans="1:6" ht="15.75" x14ac:dyDescent="0.25">
      <c r="A11" s="1" t="s">
        <v>41</v>
      </c>
      <c r="B11" s="1" t="s">
        <v>42</v>
      </c>
      <c r="C11" s="1" t="s">
        <v>43</v>
      </c>
      <c r="D11" s="1" t="s">
        <v>23</v>
      </c>
      <c r="E11" s="12">
        <v>1290</v>
      </c>
      <c r="F11" s="15"/>
    </row>
    <row r="12" spans="1:6" ht="15.75" x14ac:dyDescent="0.25">
      <c r="A12" s="1" t="s">
        <v>44</v>
      </c>
      <c r="B12" s="1" t="s">
        <v>42</v>
      </c>
      <c r="C12" s="1" t="s">
        <v>43</v>
      </c>
      <c r="D12" s="1" t="s">
        <v>45</v>
      </c>
      <c r="E12" s="12">
        <v>1900</v>
      </c>
      <c r="F12" s="15"/>
    </row>
    <row r="13" spans="1:6" ht="15.75" x14ac:dyDescent="0.25">
      <c r="A13" s="1" t="s">
        <v>46</v>
      </c>
      <c r="B13" s="1" t="s">
        <v>42</v>
      </c>
      <c r="C13" s="1" t="s">
        <v>43</v>
      </c>
      <c r="D13" s="1" t="s">
        <v>47</v>
      </c>
      <c r="E13" s="12">
        <v>1968</v>
      </c>
      <c r="F13" s="15"/>
    </row>
    <row r="14" spans="1:6" ht="15.75" x14ac:dyDescent="0.25">
      <c r="A14" s="1" t="s">
        <v>48</v>
      </c>
      <c r="B14" s="1" t="s">
        <v>42</v>
      </c>
      <c r="C14" s="1" t="s">
        <v>43</v>
      </c>
      <c r="D14" s="1" t="s">
        <v>47</v>
      </c>
      <c r="E14" s="12">
        <v>1980</v>
      </c>
      <c r="F14" s="15"/>
    </row>
    <row r="15" spans="1:6" ht="15.75" x14ac:dyDescent="0.25">
      <c r="A15" s="1" t="s">
        <v>49</v>
      </c>
      <c r="B15" s="1" t="s">
        <v>21</v>
      </c>
      <c r="C15" s="1" t="s">
        <v>43</v>
      </c>
      <c r="D15" s="1" t="s">
        <v>36</v>
      </c>
      <c r="E15" s="12">
        <v>1443.75</v>
      </c>
      <c r="F15" s="15"/>
    </row>
    <row r="16" spans="1:6" ht="15.75" x14ac:dyDescent="0.25">
      <c r="A16" s="1" t="s">
        <v>50</v>
      </c>
      <c r="B16" s="1" t="s">
        <v>51</v>
      </c>
      <c r="C16" s="1" t="s">
        <v>52</v>
      </c>
      <c r="D16" s="1" t="s">
        <v>47</v>
      </c>
      <c r="E16" s="12">
        <v>567.5</v>
      </c>
      <c r="F16" s="15"/>
    </row>
    <row r="17" spans="1:6" ht="15.75" x14ac:dyDescent="0.25">
      <c r="A17" s="1" t="s">
        <v>53</v>
      </c>
      <c r="B17" s="1" t="s">
        <v>51</v>
      </c>
      <c r="C17" s="1" t="s">
        <v>52</v>
      </c>
      <c r="D17" s="1" t="s">
        <v>54</v>
      </c>
      <c r="E17" s="12">
        <v>537.5</v>
      </c>
      <c r="F17" s="15"/>
    </row>
    <row r="18" spans="1:6" ht="15.75" x14ac:dyDescent="0.25">
      <c r="A18" s="1" t="s">
        <v>55</v>
      </c>
      <c r="B18" s="1" t="s">
        <v>21</v>
      </c>
      <c r="C18" s="1" t="s">
        <v>56</v>
      </c>
      <c r="D18" s="1" t="s">
        <v>54</v>
      </c>
      <c r="E18" s="12">
        <v>1470</v>
      </c>
      <c r="F18" s="15"/>
    </row>
    <row r="19" spans="1:6" ht="15.75" x14ac:dyDescent="0.25">
      <c r="A19" s="1" t="s">
        <v>57</v>
      </c>
      <c r="B19" s="1" t="s">
        <v>58</v>
      </c>
      <c r="C19" s="1" t="s">
        <v>59</v>
      </c>
      <c r="D19" s="1" t="s">
        <v>45</v>
      </c>
      <c r="E19" s="12">
        <v>670</v>
      </c>
      <c r="F19" s="15"/>
    </row>
    <row r="20" spans="1:6" ht="15.75" x14ac:dyDescent="0.25">
      <c r="A20" s="1" t="s">
        <v>60</v>
      </c>
      <c r="B20" s="1" t="s">
        <v>58</v>
      </c>
      <c r="C20" s="1" t="s">
        <v>59</v>
      </c>
      <c r="D20" s="1" t="s">
        <v>61</v>
      </c>
      <c r="E20" s="12">
        <v>2012</v>
      </c>
      <c r="F20" s="15"/>
    </row>
    <row r="21" spans="1:6" ht="15.75" x14ac:dyDescent="0.25">
      <c r="A21" s="1" t="s">
        <v>62</v>
      </c>
      <c r="B21" s="1" t="s">
        <v>21</v>
      </c>
      <c r="C21" s="1" t="s">
        <v>59</v>
      </c>
      <c r="D21" s="1" t="s">
        <v>34</v>
      </c>
      <c r="E21" s="12">
        <v>1500.625</v>
      </c>
      <c r="F21" s="15"/>
    </row>
    <row r="22" spans="1:6" ht="15.75" x14ac:dyDescent="0.25">
      <c r="A22" s="1" t="s">
        <v>63</v>
      </c>
      <c r="B22" s="1" t="s">
        <v>58</v>
      </c>
      <c r="C22" s="1" t="s">
        <v>64</v>
      </c>
      <c r="D22" s="1" t="s">
        <v>65</v>
      </c>
      <c r="E22" s="12">
        <v>1945</v>
      </c>
      <c r="F22" s="15"/>
    </row>
    <row r="23" spans="1:6" ht="15.75" x14ac:dyDescent="0.25">
      <c r="A23" s="1" t="s">
        <v>66</v>
      </c>
      <c r="B23" s="1" t="s">
        <v>28</v>
      </c>
      <c r="C23" s="1" t="s">
        <v>67</v>
      </c>
      <c r="D23" s="1" t="s">
        <v>45</v>
      </c>
      <c r="E23" s="12">
        <v>638.75</v>
      </c>
      <c r="F23" s="15"/>
    </row>
    <row r="24" spans="1:6" ht="15.75" x14ac:dyDescent="0.25">
      <c r="A24" s="1" t="s">
        <v>68</v>
      </c>
      <c r="B24" s="1" t="s">
        <v>69</v>
      </c>
      <c r="C24" s="1" t="s">
        <v>70</v>
      </c>
      <c r="D24" s="1" t="s">
        <v>23</v>
      </c>
      <c r="E24" s="12">
        <v>858.75</v>
      </c>
      <c r="F24" s="15"/>
    </row>
    <row r="25" spans="1:6" ht="15.75" x14ac:dyDescent="0.25">
      <c r="A25" s="1" t="s">
        <v>71</v>
      </c>
      <c r="B25" s="1" t="s">
        <v>69</v>
      </c>
      <c r="C25" s="1" t="s">
        <v>70</v>
      </c>
      <c r="D25" s="1" t="s">
        <v>25</v>
      </c>
      <c r="E25" s="12">
        <v>1713.75</v>
      </c>
      <c r="F25" s="15"/>
    </row>
    <row r="26" spans="1:6" ht="15.75" x14ac:dyDescent="0.25">
      <c r="A26" s="1" t="s">
        <v>72</v>
      </c>
      <c r="B26" s="1" t="s">
        <v>69</v>
      </c>
      <c r="C26" s="1" t="s">
        <v>70</v>
      </c>
      <c r="D26" s="1" t="s">
        <v>73</v>
      </c>
      <c r="E26" s="12">
        <v>866.25</v>
      </c>
      <c r="F26" s="15"/>
    </row>
    <row r="27" spans="1:6" ht="15.75" x14ac:dyDescent="0.25">
      <c r="A27" s="1" t="s">
        <v>74</v>
      </c>
      <c r="B27" s="1" t="s">
        <v>69</v>
      </c>
      <c r="C27" s="1" t="s">
        <v>70</v>
      </c>
      <c r="D27" s="1" t="s">
        <v>65</v>
      </c>
      <c r="E27" s="12">
        <v>1121.25</v>
      </c>
      <c r="F27" s="15"/>
    </row>
    <row r="28" spans="1:6" ht="15.75" x14ac:dyDescent="0.25">
      <c r="A28" s="1" t="s">
        <v>75</v>
      </c>
      <c r="B28" s="1" t="s">
        <v>58</v>
      </c>
      <c r="C28" s="1" t="s">
        <v>76</v>
      </c>
      <c r="D28" s="1" t="s">
        <v>61</v>
      </c>
      <c r="E28" s="12">
        <v>2260</v>
      </c>
      <c r="F28" s="15"/>
    </row>
    <row r="29" spans="1:6" ht="15.75" x14ac:dyDescent="0.25">
      <c r="A29" s="1" t="s">
        <v>77</v>
      </c>
      <c r="B29" s="1" t="s">
        <v>42</v>
      </c>
      <c r="C29" s="1" t="s">
        <v>76</v>
      </c>
      <c r="D29" s="1" t="s">
        <v>73</v>
      </c>
      <c r="E29" s="12">
        <v>772</v>
      </c>
      <c r="F29" s="15"/>
    </row>
    <row r="30" spans="1:6" ht="15.75" x14ac:dyDescent="0.25">
      <c r="A30" s="1" t="s">
        <v>78</v>
      </c>
      <c r="B30" s="1" t="s">
        <v>28</v>
      </c>
      <c r="C30" s="1" t="s">
        <v>76</v>
      </c>
      <c r="D30" s="1" t="s">
        <v>36</v>
      </c>
      <c r="E30" s="12">
        <v>637.5</v>
      </c>
      <c r="F30" s="15"/>
    </row>
    <row r="31" spans="1:6" ht="15.75" x14ac:dyDescent="0.25">
      <c r="A31" s="1" t="s">
        <v>79</v>
      </c>
      <c r="B31" s="1" t="s">
        <v>58</v>
      </c>
      <c r="C31" s="1" t="s">
        <v>80</v>
      </c>
      <c r="D31" s="1" t="s">
        <v>23</v>
      </c>
      <c r="E31" s="12">
        <v>2030</v>
      </c>
      <c r="F31" s="15"/>
    </row>
    <row r="32" spans="1:6" ht="15.75" x14ac:dyDescent="0.25">
      <c r="A32" s="1" t="s">
        <v>81</v>
      </c>
      <c r="B32" s="1" t="s">
        <v>58</v>
      </c>
      <c r="C32" s="1" t="s">
        <v>80</v>
      </c>
      <c r="D32" s="1" t="s">
        <v>65</v>
      </c>
      <c r="E32" s="12">
        <v>1844</v>
      </c>
      <c r="F32" s="15"/>
    </row>
    <row r="33" spans="1:6" ht="15.75" x14ac:dyDescent="0.25">
      <c r="A33" s="1" t="s">
        <v>82</v>
      </c>
      <c r="B33" s="1" t="s">
        <v>58</v>
      </c>
      <c r="C33" s="1" t="s">
        <v>80</v>
      </c>
      <c r="D33" s="1" t="s">
        <v>65</v>
      </c>
      <c r="E33" s="12">
        <v>1648</v>
      </c>
      <c r="F33" s="15"/>
    </row>
    <row r="34" spans="1:6" ht="15.75" x14ac:dyDescent="0.25">
      <c r="A34" s="1" t="s">
        <v>83</v>
      </c>
      <c r="B34" s="1" t="s">
        <v>21</v>
      </c>
      <c r="C34" s="1" t="s">
        <v>84</v>
      </c>
      <c r="D34" s="1" t="s">
        <v>65</v>
      </c>
      <c r="E34" s="12">
        <v>1789.375</v>
      </c>
      <c r="F34" s="15"/>
    </row>
    <row r="35" spans="1:6" ht="15.75" x14ac:dyDescent="0.25">
      <c r="A35" s="1" t="s">
        <v>85</v>
      </c>
      <c r="B35" s="1" t="s">
        <v>21</v>
      </c>
      <c r="C35" s="1" t="s">
        <v>86</v>
      </c>
      <c r="D35" s="1" t="s">
        <v>45</v>
      </c>
      <c r="E35" s="12">
        <v>1299.375</v>
      </c>
      <c r="F35" s="15"/>
    </row>
    <row r="36" spans="1:6" ht="15.75" x14ac:dyDescent="0.25">
      <c r="A36" s="1" t="s">
        <v>87</v>
      </c>
      <c r="B36" s="1" t="s">
        <v>21</v>
      </c>
      <c r="C36" s="1" t="s">
        <v>86</v>
      </c>
      <c r="D36" s="1" t="s">
        <v>88</v>
      </c>
      <c r="E36" s="12">
        <v>1588.125</v>
      </c>
      <c r="F36" s="15"/>
    </row>
    <row r="37" spans="1:6" ht="15.75" x14ac:dyDescent="0.25">
      <c r="A37" s="1" t="s">
        <v>89</v>
      </c>
      <c r="B37" s="1" t="s">
        <v>21</v>
      </c>
      <c r="C37" s="1" t="s">
        <v>86</v>
      </c>
      <c r="D37" s="1" t="s">
        <v>54</v>
      </c>
      <c r="E37" s="12">
        <v>2318.75</v>
      </c>
      <c r="F37" s="15"/>
    </row>
    <row r="38" spans="1:6" ht="15.75" x14ac:dyDescent="0.25">
      <c r="A38" s="1" t="s">
        <v>90</v>
      </c>
      <c r="B38" s="1" t="s">
        <v>21</v>
      </c>
      <c r="C38" s="1" t="s">
        <v>86</v>
      </c>
      <c r="D38" s="1" t="s">
        <v>65</v>
      </c>
      <c r="E38" s="12">
        <v>997.5</v>
      </c>
      <c r="F38" s="15"/>
    </row>
    <row r="39" spans="1:6" ht="15.75" x14ac:dyDescent="0.25">
      <c r="A39" s="1" t="s">
        <v>91</v>
      </c>
      <c r="B39" s="1" t="s">
        <v>42</v>
      </c>
      <c r="C39" s="1" t="s">
        <v>92</v>
      </c>
      <c r="D39" s="1" t="s">
        <v>45</v>
      </c>
      <c r="E39" s="12">
        <v>2144</v>
      </c>
      <c r="F39" s="15"/>
    </row>
    <row r="40" spans="1:6" ht="15.75" x14ac:dyDescent="0.25">
      <c r="A40" s="1" t="s">
        <v>93</v>
      </c>
      <c r="B40" s="1" t="s">
        <v>58</v>
      </c>
      <c r="C40" s="1" t="s">
        <v>92</v>
      </c>
      <c r="D40" s="1" t="s">
        <v>45</v>
      </c>
      <c r="E40" s="12">
        <v>656</v>
      </c>
      <c r="F40" s="15"/>
    </row>
    <row r="41" spans="1:6" ht="15.75" x14ac:dyDescent="0.25">
      <c r="A41" s="1" t="s">
        <v>94</v>
      </c>
      <c r="B41" s="1" t="s">
        <v>58</v>
      </c>
      <c r="C41" s="1" t="s">
        <v>92</v>
      </c>
      <c r="D41" s="1" t="s">
        <v>45</v>
      </c>
      <c r="E41" s="12">
        <v>1376</v>
      </c>
      <c r="F41" s="15"/>
    </row>
    <row r="42" spans="1:6" ht="15.75" x14ac:dyDescent="0.25">
      <c r="A42" s="1" t="s">
        <v>95</v>
      </c>
      <c r="B42" s="1" t="s">
        <v>58</v>
      </c>
      <c r="C42" s="1" t="s">
        <v>92</v>
      </c>
      <c r="D42" s="1" t="s">
        <v>88</v>
      </c>
      <c r="E42" s="12">
        <v>1748</v>
      </c>
      <c r="F42" s="15"/>
    </row>
    <row r="43" spans="1:6" ht="15.75" x14ac:dyDescent="0.25">
      <c r="A43" s="1" t="s">
        <v>96</v>
      </c>
      <c r="B43" s="1" t="s">
        <v>58</v>
      </c>
      <c r="C43" s="1" t="s">
        <v>92</v>
      </c>
      <c r="D43" s="1" t="s">
        <v>47</v>
      </c>
      <c r="E43" s="12">
        <v>916</v>
      </c>
      <c r="F43" s="15"/>
    </row>
    <row r="44" spans="1:6" ht="15.75" x14ac:dyDescent="0.25">
      <c r="A44" s="1" t="s">
        <v>97</v>
      </c>
      <c r="B44" s="1" t="s">
        <v>21</v>
      </c>
      <c r="C44" s="1" t="s">
        <v>92</v>
      </c>
      <c r="D44" s="1" t="s">
        <v>47</v>
      </c>
      <c r="E44" s="12">
        <v>673.75</v>
      </c>
      <c r="F44" s="15"/>
    </row>
    <row r="45" spans="1:6" ht="15.75" x14ac:dyDescent="0.25">
      <c r="A45" s="1" t="s">
        <v>98</v>
      </c>
      <c r="B45" s="1" t="s">
        <v>58</v>
      </c>
      <c r="C45" s="1" t="s">
        <v>92</v>
      </c>
      <c r="D45" s="1" t="s">
        <v>54</v>
      </c>
      <c r="E45" s="12">
        <v>1664</v>
      </c>
      <c r="F45" s="15"/>
    </row>
    <row r="46" spans="1:6" ht="15.75" x14ac:dyDescent="0.25">
      <c r="A46" s="1" t="s">
        <v>99</v>
      </c>
      <c r="B46" s="1" t="s">
        <v>32</v>
      </c>
      <c r="C46" s="1" t="s">
        <v>92</v>
      </c>
      <c r="D46" s="1" t="s">
        <v>73</v>
      </c>
      <c r="E46" s="12">
        <v>825</v>
      </c>
      <c r="F46" s="15"/>
    </row>
    <row r="47" spans="1:6" ht="15.75" x14ac:dyDescent="0.25">
      <c r="A47" s="1" t="s">
        <v>100</v>
      </c>
      <c r="B47" s="1" t="s">
        <v>58</v>
      </c>
      <c r="C47" s="1" t="s">
        <v>92</v>
      </c>
      <c r="D47" s="1" t="s">
        <v>73</v>
      </c>
      <c r="E47" s="12">
        <v>1008</v>
      </c>
      <c r="F47" s="15"/>
    </row>
    <row r="48" spans="1:6" ht="15.75" x14ac:dyDescent="0.25">
      <c r="A48" s="1" t="s">
        <v>101</v>
      </c>
      <c r="B48" s="1" t="s">
        <v>58</v>
      </c>
      <c r="C48" s="1" t="s">
        <v>92</v>
      </c>
      <c r="D48" s="1" t="s">
        <v>34</v>
      </c>
      <c r="E48" s="12">
        <v>672</v>
      </c>
      <c r="F48" s="15"/>
    </row>
    <row r="49" spans="1:6" ht="15.75" x14ac:dyDescent="0.25">
      <c r="A49" s="1" t="s">
        <v>102</v>
      </c>
      <c r="B49" s="1" t="s">
        <v>58</v>
      </c>
      <c r="C49" s="1" t="s">
        <v>92</v>
      </c>
      <c r="D49" s="1" t="s">
        <v>65</v>
      </c>
      <c r="E49" s="12">
        <v>1108</v>
      </c>
      <c r="F49" s="15"/>
    </row>
    <row r="50" spans="1:6" ht="15.75" x14ac:dyDescent="0.25">
      <c r="A50" s="1" t="s">
        <v>103</v>
      </c>
      <c r="B50" s="1" t="s">
        <v>42</v>
      </c>
      <c r="C50" s="1" t="s">
        <v>92</v>
      </c>
      <c r="D50" s="1" t="s">
        <v>36</v>
      </c>
      <c r="E50" s="12">
        <v>768</v>
      </c>
      <c r="F50" s="15"/>
    </row>
    <row r="51" spans="1:6" ht="15.75" x14ac:dyDescent="0.25">
      <c r="A51" s="1" t="s">
        <v>104</v>
      </c>
      <c r="B51" s="1" t="s">
        <v>58</v>
      </c>
      <c r="C51" s="1" t="s">
        <v>92</v>
      </c>
      <c r="D51" s="1" t="s">
        <v>36</v>
      </c>
      <c r="E51" s="12">
        <v>1800</v>
      </c>
      <c r="F51" s="15"/>
    </row>
    <row r="52" spans="1:6" ht="15.75" x14ac:dyDescent="0.25">
      <c r="A52" s="1" t="s">
        <v>105</v>
      </c>
      <c r="B52" s="1" t="s">
        <v>51</v>
      </c>
      <c r="C52" s="1" t="s">
        <v>106</v>
      </c>
      <c r="D52" s="1" t="s">
        <v>23</v>
      </c>
      <c r="E52" s="12">
        <v>650</v>
      </c>
      <c r="F52" s="15"/>
    </row>
    <row r="53" spans="1:6" ht="15.75" x14ac:dyDescent="0.25">
      <c r="A53" s="1" t="s">
        <v>107</v>
      </c>
      <c r="B53" s="1" t="s">
        <v>51</v>
      </c>
      <c r="C53" s="1" t="s">
        <v>108</v>
      </c>
      <c r="D53" s="1" t="s">
        <v>73</v>
      </c>
      <c r="E53" s="12">
        <v>672.5</v>
      </c>
      <c r="F53" s="15"/>
    </row>
    <row r="54" spans="1:6" ht="15.75" x14ac:dyDescent="0.25">
      <c r="A54" s="1" t="s">
        <v>109</v>
      </c>
      <c r="B54" s="1" t="s">
        <v>58</v>
      </c>
      <c r="C54" s="1" t="s">
        <v>110</v>
      </c>
      <c r="D54" s="1" t="s">
        <v>88</v>
      </c>
      <c r="E54" s="12">
        <v>925</v>
      </c>
      <c r="F54" s="15"/>
    </row>
    <row r="55" spans="1:6" ht="15.75" x14ac:dyDescent="0.25">
      <c r="A55" s="1" t="s">
        <v>111</v>
      </c>
      <c r="B55" s="1" t="s">
        <v>58</v>
      </c>
      <c r="C55" s="1" t="s">
        <v>110</v>
      </c>
      <c r="D55" s="1" t="s">
        <v>47</v>
      </c>
      <c r="E55" s="12">
        <v>560</v>
      </c>
      <c r="F55" s="15"/>
    </row>
    <row r="56" spans="1:6" ht="15.75" x14ac:dyDescent="0.25">
      <c r="A56" s="1" t="s">
        <v>112</v>
      </c>
      <c r="B56" s="1" t="s">
        <v>58</v>
      </c>
      <c r="C56" s="1" t="s">
        <v>110</v>
      </c>
      <c r="D56" s="1" t="s">
        <v>54</v>
      </c>
      <c r="E56" s="12">
        <v>1744</v>
      </c>
      <c r="F56" s="15"/>
    </row>
    <row r="57" spans="1:6" ht="15.75" x14ac:dyDescent="0.25">
      <c r="A57" s="1" t="s">
        <v>113</v>
      </c>
      <c r="B57" s="1" t="s">
        <v>58</v>
      </c>
      <c r="C57" s="1" t="s">
        <v>110</v>
      </c>
      <c r="D57" s="1" t="s">
        <v>34</v>
      </c>
      <c r="E57" s="12">
        <v>2610</v>
      </c>
      <c r="F57" s="15"/>
    </row>
    <row r="58" spans="1:6" ht="15.75" x14ac:dyDescent="0.25">
      <c r="A58" s="1" t="s">
        <v>114</v>
      </c>
      <c r="B58" s="1" t="s">
        <v>58</v>
      </c>
      <c r="C58" s="1" t="s">
        <v>110</v>
      </c>
      <c r="D58" s="1" t="s">
        <v>65</v>
      </c>
      <c r="E58" s="12">
        <v>740</v>
      </c>
      <c r="F58" s="15"/>
    </row>
    <row r="59" spans="1:6" ht="15.75" x14ac:dyDescent="0.25">
      <c r="A59" s="1" t="s">
        <v>115</v>
      </c>
      <c r="B59" s="1" t="s">
        <v>58</v>
      </c>
      <c r="C59" s="1" t="s">
        <v>110</v>
      </c>
      <c r="D59" s="1" t="s">
        <v>36</v>
      </c>
      <c r="E59" s="12">
        <v>805</v>
      </c>
      <c r="F59" s="15"/>
    </row>
    <row r="60" spans="1:6" ht="15.75" x14ac:dyDescent="0.25">
      <c r="A60" s="1" t="s">
        <v>37</v>
      </c>
      <c r="B60" s="1" t="s">
        <v>32</v>
      </c>
      <c r="C60" s="1" t="s">
        <v>33</v>
      </c>
      <c r="D60" s="1" t="s">
        <v>36</v>
      </c>
      <c r="E60" s="12">
        <v>1335</v>
      </c>
      <c r="F60" s="15"/>
    </row>
    <row r="61" spans="1:6" ht="15.75" x14ac:dyDescent="0.25">
      <c r="A61" s="1" t="s">
        <v>38</v>
      </c>
      <c r="B61" s="1" t="s">
        <v>28</v>
      </c>
      <c r="C61" s="1" t="s">
        <v>39</v>
      </c>
      <c r="D61" s="1" t="s">
        <v>23</v>
      </c>
      <c r="E61" s="12">
        <v>532.5</v>
      </c>
      <c r="F61" s="15"/>
    </row>
    <row r="62" spans="1:6" ht="15.75" x14ac:dyDescent="0.25">
      <c r="A62" s="1" t="s">
        <v>40</v>
      </c>
      <c r="B62" s="1" t="s">
        <v>28</v>
      </c>
      <c r="C62" s="1" t="s">
        <v>39</v>
      </c>
      <c r="D62" s="1" t="s">
        <v>23</v>
      </c>
      <c r="E62" s="12">
        <v>643.75</v>
      </c>
      <c r="F62" s="15"/>
    </row>
    <row r="63" spans="1:6" ht="15.75" x14ac:dyDescent="0.25">
      <c r="A63" s="1" t="s">
        <v>41</v>
      </c>
      <c r="B63" s="1" t="s">
        <v>42</v>
      </c>
      <c r="C63" s="1" t="s">
        <v>43</v>
      </c>
      <c r="D63" s="1" t="s">
        <v>23</v>
      </c>
      <c r="E63" s="12">
        <v>1290</v>
      </c>
      <c r="F63" s="15"/>
    </row>
    <row r="64" spans="1:6" ht="15.75" x14ac:dyDescent="0.25">
      <c r="A64" s="1" t="s">
        <v>44</v>
      </c>
      <c r="B64" s="1" t="s">
        <v>42</v>
      </c>
      <c r="C64" s="1" t="s">
        <v>43</v>
      </c>
      <c r="D64" s="1" t="s">
        <v>45</v>
      </c>
      <c r="E64" s="12">
        <v>1900</v>
      </c>
      <c r="F64" s="15"/>
    </row>
    <row r="65" spans="1:6" ht="15.75" x14ac:dyDescent="0.25">
      <c r="A65" s="1" t="s">
        <v>46</v>
      </c>
      <c r="B65" s="1" t="s">
        <v>42</v>
      </c>
      <c r="C65" s="1" t="s">
        <v>43</v>
      </c>
      <c r="D65" s="1" t="s">
        <v>47</v>
      </c>
      <c r="E65" s="12">
        <v>1968</v>
      </c>
      <c r="F65" s="15"/>
    </row>
    <row r="66" spans="1:6" ht="15.75" x14ac:dyDescent="0.25">
      <c r="A66" s="1" t="s">
        <v>48</v>
      </c>
      <c r="B66" s="1" t="s">
        <v>42</v>
      </c>
      <c r="C66" s="1" t="s">
        <v>43</v>
      </c>
      <c r="D66" s="1" t="s">
        <v>47</v>
      </c>
      <c r="E66" s="12">
        <v>1980</v>
      </c>
      <c r="F66" s="15"/>
    </row>
    <row r="67" spans="1:6" ht="15.75" x14ac:dyDescent="0.25">
      <c r="A67" s="1" t="s">
        <v>49</v>
      </c>
      <c r="B67" s="1" t="s">
        <v>21</v>
      </c>
      <c r="C67" s="1" t="s">
        <v>43</v>
      </c>
      <c r="D67" s="1" t="s">
        <v>36</v>
      </c>
      <c r="E67" s="12">
        <v>1443.75</v>
      </c>
      <c r="F67" s="15"/>
    </row>
    <row r="68" spans="1:6" ht="15.75" x14ac:dyDescent="0.25">
      <c r="A68" s="1" t="s">
        <v>50</v>
      </c>
      <c r="B68" s="1" t="s">
        <v>51</v>
      </c>
      <c r="C68" s="1" t="s">
        <v>52</v>
      </c>
      <c r="D68" s="1" t="s">
        <v>47</v>
      </c>
      <c r="E68" s="12">
        <v>567.5</v>
      </c>
      <c r="F68" s="15"/>
    </row>
    <row r="69" spans="1:6" ht="15.75" x14ac:dyDescent="0.25">
      <c r="A69" s="1" t="s">
        <v>53</v>
      </c>
      <c r="B69" s="1" t="s">
        <v>51</v>
      </c>
      <c r="C69" s="1" t="s">
        <v>52</v>
      </c>
      <c r="D69" s="1" t="s">
        <v>54</v>
      </c>
      <c r="E69" s="12">
        <v>537.5</v>
      </c>
      <c r="F69" s="15"/>
    </row>
    <row r="70" spans="1:6" ht="15.75" x14ac:dyDescent="0.25">
      <c r="A70" s="1" t="s">
        <v>55</v>
      </c>
      <c r="B70" s="1" t="s">
        <v>21</v>
      </c>
      <c r="C70" s="1" t="s">
        <v>56</v>
      </c>
      <c r="D70" s="1" t="s">
        <v>54</v>
      </c>
      <c r="E70" s="12">
        <v>1470</v>
      </c>
      <c r="F70" s="15"/>
    </row>
    <row r="71" spans="1:6" ht="15.75" x14ac:dyDescent="0.25">
      <c r="A71" s="1" t="s">
        <v>57</v>
      </c>
      <c r="B71" s="1" t="s">
        <v>58</v>
      </c>
      <c r="C71" s="1" t="s">
        <v>59</v>
      </c>
      <c r="D71" s="1" t="s">
        <v>45</v>
      </c>
      <c r="E71" s="12">
        <v>670</v>
      </c>
      <c r="F71" s="15"/>
    </row>
    <row r="72" spans="1:6" ht="15.75" x14ac:dyDescent="0.25">
      <c r="A72" s="1" t="s">
        <v>60</v>
      </c>
      <c r="B72" s="1" t="s">
        <v>58</v>
      </c>
      <c r="C72" s="1" t="s">
        <v>59</v>
      </c>
      <c r="D72" s="1" t="s">
        <v>61</v>
      </c>
      <c r="E72" s="12">
        <v>2012</v>
      </c>
      <c r="F72" s="15"/>
    </row>
    <row r="73" spans="1:6" ht="15.75" x14ac:dyDescent="0.25">
      <c r="A73" s="1" t="s">
        <v>62</v>
      </c>
      <c r="B73" s="1" t="s">
        <v>21</v>
      </c>
      <c r="C73" s="1" t="s">
        <v>59</v>
      </c>
      <c r="D73" s="1" t="s">
        <v>34</v>
      </c>
      <c r="E73" s="12">
        <v>1500.625</v>
      </c>
      <c r="F73" s="15"/>
    </row>
    <row r="74" spans="1:6" ht="15.75" x14ac:dyDescent="0.25">
      <c r="A74" s="1" t="s">
        <v>63</v>
      </c>
      <c r="B74" s="1" t="s">
        <v>58</v>
      </c>
      <c r="C74" s="1" t="s">
        <v>64</v>
      </c>
      <c r="D74" s="1" t="s">
        <v>65</v>
      </c>
      <c r="E74" s="12">
        <v>1945</v>
      </c>
      <c r="F74" s="15"/>
    </row>
    <row r="75" spans="1:6" ht="15.75" x14ac:dyDescent="0.25">
      <c r="A75" s="1" t="s">
        <v>66</v>
      </c>
      <c r="B75" s="1" t="s">
        <v>28</v>
      </c>
      <c r="C75" s="1" t="s">
        <v>67</v>
      </c>
      <c r="D75" s="1" t="s">
        <v>45</v>
      </c>
      <c r="E75" s="12">
        <v>638.75</v>
      </c>
      <c r="F75" s="15"/>
    </row>
    <row r="76" spans="1:6" ht="15.75" x14ac:dyDescent="0.25">
      <c r="A76" s="1" t="s">
        <v>68</v>
      </c>
      <c r="B76" s="1" t="s">
        <v>69</v>
      </c>
      <c r="C76" s="1" t="s">
        <v>70</v>
      </c>
      <c r="D76" s="1" t="s">
        <v>23</v>
      </c>
      <c r="E76" s="12">
        <v>858.75</v>
      </c>
      <c r="F76" s="15"/>
    </row>
    <row r="77" spans="1:6" ht="15.75" x14ac:dyDescent="0.25">
      <c r="A77" s="1" t="s">
        <v>71</v>
      </c>
      <c r="B77" s="1" t="s">
        <v>69</v>
      </c>
      <c r="C77" s="1" t="s">
        <v>70</v>
      </c>
      <c r="D77" s="1" t="s">
        <v>25</v>
      </c>
      <c r="E77" s="12">
        <v>1713.75</v>
      </c>
      <c r="F77" s="15"/>
    </row>
    <row r="78" spans="1:6" ht="15.75" x14ac:dyDescent="0.25">
      <c r="A78" s="1" t="s">
        <v>72</v>
      </c>
      <c r="B78" s="1" t="s">
        <v>69</v>
      </c>
      <c r="C78" s="1" t="s">
        <v>70</v>
      </c>
      <c r="D78" s="1" t="s">
        <v>73</v>
      </c>
      <c r="E78" s="12">
        <v>866.25</v>
      </c>
      <c r="F78" s="15"/>
    </row>
    <row r="79" spans="1:6" ht="15.75" x14ac:dyDescent="0.25">
      <c r="A79" s="1" t="s">
        <v>74</v>
      </c>
      <c r="B79" s="1" t="s">
        <v>69</v>
      </c>
      <c r="C79" s="1" t="s">
        <v>70</v>
      </c>
      <c r="D79" s="1" t="s">
        <v>65</v>
      </c>
      <c r="E79" s="12">
        <v>1121.25</v>
      </c>
      <c r="F79" s="15"/>
    </row>
    <row r="80" spans="1:6" ht="15.75" x14ac:dyDescent="0.25">
      <c r="A80" s="1" t="s">
        <v>75</v>
      </c>
      <c r="B80" s="1" t="s">
        <v>58</v>
      </c>
      <c r="C80" s="1" t="s">
        <v>76</v>
      </c>
      <c r="D80" s="1" t="s">
        <v>61</v>
      </c>
      <c r="E80" s="12">
        <v>2260</v>
      </c>
      <c r="F80" s="15"/>
    </row>
    <row r="81" spans="1:6" ht="15.75" x14ac:dyDescent="0.25">
      <c r="A81" s="1" t="s">
        <v>77</v>
      </c>
      <c r="B81" s="1" t="s">
        <v>42</v>
      </c>
      <c r="C81" s="1" t="s">
        <v>76</v>
      </c>
      <c r="D81" s="1" t="s">
        <v>73</v>
      </c>
      <c r="E81" s="12">
        <v>772</v>
      </c>
      <c r="F81" s="15"/>
    </row>
    <row r="82" spans="1:6" ht="15.75" x14ac:dyDescent="0.25">
      <c r="A82" s="1" t="s">
        <v>78</v>
      </c>
      <c r="B82" s="1" t="s">
        <v>28</v>
      </c>
      <c r="C82" s="1" t="s">
        <v>76</v>
      </c>
      <c r="D82" s="1" t="s">
        <v>36</v>
      </c>
      <c r="E82" s="12">
        <v>637.5</v>
      </c>
      <c r="F82" s="15"/>
    </row>
    <row r="83" spans="1:6" ht="15.75" x14ac:dyDescent="0.25">
      <c r="A83" s="1" t="s">
        <v>79</v>
      </c>
      <c r="B83" s="1" t="s">
        <v>58</v>
      </c>
      <c r="C83" s="1" t="s">
        <v>80</v>
      </c>
      <c r="D83" s="1" t="s">
        <v>23</v>
      </c>
      <c r="E83" s="12">
        <v>2030</v>
      </c>
      <c r="F83" s="15"/>
    </row>
    <row r="84" spans="1:6" ht="15.75" x14ac:dyDescent="0.25">
      <c r="A84" s="1" t="s">
        <v>81</v>
      </c>
      <c r="B84" s="1" t="s">
        <v>58</v>
      </c>
      <c r="C84" s="1" t="s">
        <v>80</v>
      </c>
      <c r="D84" s="1" t="s">
        <v>65</v>
      </c>
      <c r="E84" s="12">
        <v>1844</v>
      </c>
      <c r="F84" s="15"/>
    </row>
    <row r="85" spans="1:6" ht="15.75" x14ac:dyDescent="0.25">
      <c r="A85" s="1" t="s">
        <v>82</v>
      </c>
      <c r="B85" s="1" t="s">
        <v>58</v>
      </c>
      <c r="C85" s="1" t="s">
        <v>80</v>
      </c>
      <c r="D85" s="1" t="s">
        <v>65</v>
      </c>
      <c r="E85" s="12">
        <v>1648</v>
      </c>
      <c r="F85" s="15"/>
    </row>
    <row r="86" spans="1:6" ht="15.75" x14ac:dyDescent="0.25">
      <c r="A86" s="1" t="s">
        <v>83</v>
      </c>
      <c r="B86" s="1" t="s">
        <v>21</v>
      </c>
      <c r="C86" s="1" t="s">
        <v>84</v>
      </c>
      <c r="D86" s="1" t="s">
        <v>65</v>
      </c>
      <c r="E86" s="12">
        <v>1789.375</v>
      </c>
      <c r="F86" s="15"/>
    </row>
    <row r="87" spans="1:6" x14ac:dyDescent="0.25">
      <c r="F87" s="15"/>
    </row>
    <row r="88" spans="1:6" ht="15.75" x14ac:dyDescent="0.25">
      <c r="E88" s="12"/>
      <c r="F88" s="15"/>
    </row>
    <row r="89" spans="1:6" x14ac:dyDescent="0.25">
      <c r="F89" s="15"/>
    </row>
    <row r="90" spans="1:6" x14ac:dyDescent="0.25">
      <c r="F90" s="15"/>
    </row>
    <row r="91" spans="1:6" x14ac:dyDescent="0.25">
      <c r="F91" s="15"/>
    </row>
    <row r="92" spans="1:6" x14ac:dyDescent="0.25">
      <c r="F92" s="15"/>
    </row>
    <row r="93" spans="1:6" x14ac:dyDescent="0.25">
      <c r="F93" s="15"/>
    </row>
    <row r="94" spans="1:6" x14ac:dyDescent="0.25">
      <c r="F94" s="15"/>
    </row>
    <row r="95" spans="1:6" x14ac:dyDescent="0.25">
      <c r="F95" s="15"/>
    </row>
    <row r="96" spans="1:6" x14ac:dyDescent="0.25">
      <c r="F96" s="15"/>
    </row>
    <row r="97" spans="6:6" x14ac:dyDescent="0.25">
      <c r="F97" s="15"/>
    </row>
    <row r="98" spans="6:6" x14ac:dyDescent="0.25">
      <c r="F98" s="15"/>
    </row>
    <row r="99" spans="6:6" x14ac:dyDescent="0.25">
      <c r="F99" s="15"/>
    </row>
    <row r="100" spans="6:6" x14ac:dyDescent="0.25">
      <c r="F100" s="15"/>
    </row>
    <row r="101" spans="6:6" x14ac:dyDescent="0.25">
      <c r="F101" s="15"/>
    </row>
    <row r="102" spans="6:6" x14ac:dyDescent="0.25">
      <c r="F102" s="15"/>
    </row>
    <row r="103" spans="6:6" x14ac:dyDescent="0.25">
      <c r="F103" s="15"/>
    </row>
    <row r="104" spans="6:6" x14ac:dyDescent="0.25">
      <c r="F104" s="15"/>
    </row>
    <row r="105" spans="6:6" x14ac:dyDescent="0.25">
      <c r="F105" s="15"/>
    </row>
    <row r="106" spans="6:6" x14ac:dyDescent="0.25">
      <c r="F106" s="15"/>
    </row>
    <row r="107" spans="6:6" x14ac:dyDescent="0.25">
      <c r="F107" s="15"/>
    </row>
    <row r="108" spans="6:6" x14ac:dyDescent="0.25">
      <c r="F108" s="15"/>
    </row>
    <row r="109" spans="6:6" x14ac:dyDescent="0.25">
      <c r="F109" s="15"/>
    </row>
    <row r="110" spans="6:6" x14ac:dyDescent="0.25">
      <c r="F110" s="15"/>
    </row>
    <row r="111" spans="6:6" x14ac:dyDescent="0.25">
      <c r="F111" s="15"/>
    </row>
    <row r="112" spans="6:6" x14ac:dyDescent="0.25">
      <c r="F112" s="15"/>
    </row>
    <row r="113" spans="6:6" x14ac:dyDescent="0.25">
      <c r="F113" s="15"/>
    </row>
    <row r="114" spans="6:6" x14ac:dyDescent="0.25">
      <c r="F114" s="15"/>
    </row>
    <row r="115" spans="6:6" x14ac:dyDescent="0.25">
      <c r="F115" s="15"/>
    </row>
    <row r="116" spans="6:6" x14ac:dyDescent="0.25">
      <c r="F116" s="15"/>
    </row>
    <row r="117" spans="6:6" x14ac:dyDescent="0.25">
      <c r="F117" s="15"/>
    </row>
    <row r="118" spans="6:6" x14ac:dyDescent="0.25">
      <c r="F118" s="15"/>
    </row>
    <row r="119" spans="6:6" x14ac:dyDescent="0.25">
      <c r="F119" s="15"/>
    </row>
    <row r="120" spans="6:6" x14ac:dyDescent="0.25">
      <c r="F120" s="15"/>
    </row>
    <row r="121" spans="6:6" x14ac:dyDescent="0.25">
      <c r="F121" s="15"/>
    </row>
    <row r="122" spans="6:6" x14ac:dyDescent="0.25">
      <c r="F122" s="15"/>
    </row>
    <row r="123" spans="6:6" x14ac:dyDescent="0.25">
      <c r="F123" s="15"/>
    </row>
    <row r="124" spans="6:6" x14ac:dyDescent="0.25">
      <c r="F124" s="15"/>
    </row>
    <row r="125" spans="6:6" x14ac:dyDescent="0.25">
      <c r="F125" s="15"/>
    </row>
    <row r="126" spans="6:6" x14ac:dyDescent="0.25">
      <c r="F126" s="15"/>
    </row>
    <row r="127" spans="6:6" x14ac:dyDescent="0.25">
      <c r="F127" s="15"/>
    </row>
    <row r="128" spans="6:6" x14ac:dyDescent="0.25">
      <c r="F128" s="15"/>
    </row>
    <row r="129" spans="6:6" x14ac:dyDescent="0.25">
      <c r="F129" s="15"/>
    </row>
    <row r="130" spans="6:6" x14ac:dyDescent="0.25">
      <c r="F130" s="15"/>
    </row>
    <row r="131" spans="6:6" x14ac:dyDescent="0.25">
      <c r="F131" s="15"/>
    </row>
    <row r="132" spans="6:6" x14ac:dyDescent="0.25">
      <c r="F132" s="15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D31B-1AC6-4399-B6E7-7744D3814E0D}">
  <dimension ref="A1:AZ16"/>
  <sheetViews>
    <sheetView workbookViewId="0">
      <selection activeCell="D10" sqref="D10"/>
    </sheetView>
  </sheetViews>
  <sheetFormatPr defaultRowHeight="15" x14ac:dyDescent="0.25"/>
  <cols>
    <col min="1" max="1" width="10.42578125" bestFit="1" customWidth="1"/>
    <col min="3" max="3" width="14.28515625" bestFit="1" customWidth="1"/>
    <col min="4" max="6" width="13.140625" bestFit="1" customWidth="1"/>
  </cols>
  <sheetData>
    <row r="1" spans="1:52" ht="82.5" customHeight="1" x14ac:dyDescent="0.25">
      <c r="C1" s="2" t="s">
        <v>116</v>
      </c>
    </row>
    <row r="2" spans="1:52" s="17" customFormat="1" ht="15.75" x14ac:dyDescent="0.25">
      <c r="A2" s="16" t="s">
        <v>43</v>
      </c>
      <c r="B2" s="16" t="s">
        <v>117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6">
        <v>12</v>
      </c>
      <c r="O2" s="16">
        <v>13</v>
      </c>
      <c r="P2" s="16">
        <v>14</v>
      </c>
      <c r="Q2" s="16">
        <v>15</v>
      </c>
      <c r="R2" s="16">
        <v>16</v>
      </c>
      <c r="S2" s="16">
        <v>17</v>
      </c>
      <c r="T2" s="16">
        <v>18</v>
      </c>
      <c r="U2" s="16">
        <v>19</v>
      </c>
      <c r="V2" s="16">
        <v>20</v>
      </c>
      <c r="W2" s="16">
        <v>21</v>
      </c>
      <c r="X2" s="16">
        <v>22</v>
      </c>
      <c r="Y2" s="16">
        <v>23</v>
      </c>
      <c r="Z2" s="16">
        <v>24</v>
      </c>
      <c r="AA2" s="16">
        <v>25</v>
      </c>
      <c r="AB2" s="16">
        <v>26</v>
      </c>
      <c r="AC2" s="16">
        <v>27</v>
      </c>
      <c r="AD2" s="16">
        <v>28</v>
      </c>
      <c r="AE2" s="16">
        <v>29</v>
      </c>
      <c r="AF2" s="16">
        <v>30</v>
      </c>
      <c r="AG2" s="16">
        <v>31</v>
      </c>
      <c r="AH2" s="16">
        <v>32</v>
      </c>
      <c r="AI2" s="16">
        <v>33</v>
      </c>
      <c r="AJ2" s="16">
        <v>34</v>
      </c>
      <c r="AK2" s="16">
        <v>35</v>
      </c>
      <c r="AL2" s="16">
        <v>36</v>
      </c>
      <c r="AM2" s="16">
        <v>37</v>
      </c>
      <c r="AN2" s="16">
        <v>38</v>
      </c>
      <c r="AO2" s="16">
        <v>39</v>
      </c>
      <c r="AP2" s="16">
        <v>40</v>
      </c>
      <c r="AQ2" s="16">
        <v>41</v>
      </c>
      <c r="AR2" s="16">
        <v>42</v>
      </c>
      <c r="AS2" s="16">
        <v>43</v>
      </c>
      <c r="AT2" s="16">
        <v>44</v>
      </c>
      <c r="AU2" s="16">
        <v>45</v>
      </c>
      <c r="AV2" s="16">
        <v>46</v>
      </c>
      <c r="AW2" s="16">
        <v>47</v>
      </c>
      <c r="AX2" s="16">
        <v>48</v>
      </c>
      <c r="AY2" s="16">
        <v>49</v>
      </c>
      <c r="AZ2" s="16">
        <v>50</v>
      </c>
    </row>
    <row r="3" spans="1:52" ht="15.75" x14ac:dyDescent="0.25">
      <c r="A3" s="18" t="s">
        <v>6</v>
      </c>
      <c r="B3" s="18" t="s">
        <v>118</v>
      </c>
      <c r="C3" s="13">
        <v>265</v>
      </c>
      <c r="D3" s="13">
        <v>397</v>
      </c>
      <c r="E3" s="13">
        <v>240</v>
      </c>
      <c r="F3" s="13">
        <v>437</v>
      </c>
      <c r="G3" s="13">
        <v>265</v>
      </c>
      <c r="H3" s="13">
        <v>397</v>
      </c>
      <c r="I3" s="13">
        <v>240</v>
      </c>
      <c r="J3" s="13">
        <v>437</v>
      </c>
      <c r="K3" s="13">
        <v>373.21428571428601</v>
      </c>
      <c r="L3" s="13">
        <v>381.76190476190499</v>
      </c>
      <c r="M3" s="13">
        <v>390.30952380952402</v>
      </c>
      <c r="N3" s="13">
        <v>398.857142857143</v>
      </c>
      <c r="O3" s="13">
        <v>407.40476190476198</v>
      </c>
      <c r="P3" s="13">
        <v>415.95238095238102</v>
      </c>
      <c r="Q3" s="13">
        <v>424.5</v>
      </c>
      <c r="R3" s="13">
        <v>433.04761904761898</v>
      </c>
      <c r="S3" s="13">
        <v>441.59523809523802</v>
      </c>
      <c r="T3" s="13">
        <v>450.142857142857</v>
      </c>
      <c r="U3" s="13">
        <v>458.69047619047598</v>
      </c>
      <c r="V3" s="13">
        <v>467.23809523809501</v>
      </c>
      <c r="W3" s="13">
        <v>475.78571428571399</v>
      </c>
      <c r="X3" s="13">
        <v>484.33333333333297</v>
      </c>
      <c r="Y3" s="13">
        <v>492.88095238095201</v>
      </c>
      <c r="Z3" s="13">
        <v>501.42857142857099</v>
      </c>
      <c r="AA3" s="13">
        <v>509.97619047619003</v>
      </c>
      <c r="AB3" s="13">
        <v>518.52380952380895</v>
      </c>
      <c r="AC3" s="13">
        <v>527.07142857142799</v>
      </c>
      <c r="AD3" s="13">
        <v>535.61904761904702</v>
      </c>
      <c r="AE3" s="13">
        <v>544.16666666666595</v>
      </c>
      <c r="AF3" s="13">
        <v>552.71428571428498</v>
      </c>
      <c r="AG3" s="13">
        <v>561.26190476190402</v>
      </c>
      <c r="AH3" s="13">
        <v>569.80952380952294</v>
      </c>
      <c r="AI3" s="13">
        <v>578.35714285714198</v>
      </c>
      <c r="AJ3" s="13">
        <v>586.90476190476102</v>
      </c>
      <c r="AK3" s="13">
        <v>595.45238095238096</v>
      </c>
      <c r="AL3" s="13">
        <v>604</v>
      </c>
      <c r="AM3" s="13">
        <v>612.54761904761904</v>
      </c>
      <c r="AN3" s="13">
        <v>621.09523809523796</v>
      </c>
      <c r="AO3" s="13">
        <v>629.642857142857</v>
      </c>
      <c r="AP3" s="13">
        <v>638.19047619047603</v>
      </c>
      <c r="AQ3" s="13">
        <v>646.73809523809496</v>
      </c>
      <c r="AR3" s="13">
        <v>655.28571428571399</v>
      </c>
      <c r="AS3" s="13">
        <v>663.83333333333303</v>
      </c>
      <c r="AT3" s="13">
        <v>672.38095238095195</v>
      </c>
      <c r="AU3" s="13">
        <v>680.92857142857099</v>
      </c>
      <c r="AV3" s="13">
        <v>689.47619047619003</v>
      </c>
      <c r="AW3" s="13">
        <v>698.02380952380895</v>
      </c>
      <c r="AX3" s="13">
        <v>706.57142857142799</v>
      </c>
      <c r="AY3" s="13">
        <v>715.11904761904702</v>
      </c>
      <c r="AZ3" s="13">
        <v>723.66666666666595</v>
      </c>
    </row>
    <row r="4" spans="1:52" ht="15.75" x14ac:dyDescent="0.25">
      <c r="A4" s="18" t="s">
        <v>0</v>
      </c>
      <c r="B4" s="18" t="s">
        <v>118</v>
      </c>
      <c r="C4" s="13">
        <v>405</v>
      </c>
      <c r="D4" s="13">
        <v>382</v>
      </c>
      <c r="E4" s="13">
        <v>360</v>
      </c>
      <c r="F4" s="13">
        <v>428</v>
      </c>
      <c r="G4" s="13">
        <v>405</v>
      </c>
      <c r="H4" s="13">
        <v>382</v>
      </c>
      <c r="I4" s="13">
        <v>360</v>
      </c>
      <c r="J4" s="13">
        <v>428</v>
      </c>
      <c r="K4" s="13">
        <v>398.78571428571399</v>
      </c>
      <c r="L4" s="13">
        <v>399.90476190476198</v>
      </c>
      <c r="M4" s="13">
        <v>401.02380952380997</v>
      </c>
      <c r="N4" s="13">
        <v>402.142857142857</v>
      </c>
      <c r="O4" s="13">
        <v>403.26190476190499</v>
      </c>
      <c r="P4" s="13">
        <v>404.38095238095201</v>
      </c>
      <c r="Q4" s="13">
        <v>405.5</v>
      </c>
      <c r="R4" s="13">
        <v>406.61904761904799</v>
      </c>
      <c r="S4" s="13">
        <v>407.73809523809501</v>
      </c>
      <c r="T4" s="13">
        <v>408.857142857143</v>
      </c>
      <c r="U4" s="13">
        <v>409.97619047619003</v>
      </c>
      <c r="V4" s="13">
        <v>411.09523809523802</v>
      </c>
      <c r="W4" s="13">
        <v>412.21428571428601</v>
      </c>
      <c r="X4" s="13">
        <v>413.33333333333297</v>
      </c>
      <c r="Y4" s="13">
        <v>414.45238095238102</v>
      </c>
      <c r="Z4" s="13">
        <v>415.57142857142799</v>
      </c>
      <c r="AA4" s="13">
        <v>416.69047619047598</v>
      </c>
      <c r="AB4" s="13">
        <v>417.80952380952402</v>
      </c>
      <c r="AC4" s="13">
        <v>418.92857142857099</v>
      </c>
      <c r="AD4" s="13">
        <v>420.04761904761898</v>
      </c>
      <c r="AE4" s="13">
        <v>421.16666666666703</v>
      </c>
      <c r="AF4" s="13">
        <v>422.28571428571399</v>
      </c>
      <c r="AG4" s="13">
        <v>423.40476190476198</v>
      </c>
      <c r="AH4" s="13">
        <v>424.52380952380997</v>
      </c>
      <c r="AI4" s="13">
        <v>425.642857142857</v>
      </c>
      <c r="AJ4" s="13">
        <v>426.76190476190499</v>
      </c>
      <c r="AK4" s="13">
        <v>427.88095238095201</v>
      </c>
      <c r="AL4" s="13">
        <v>429</v>
      </c>
      <c r="AM4" s="13">
        <v>430.11904761904799</v>
      </c>
      <c r="AN4" s="13">
        <v>431.23809523809501</v>
      </c>
      <c r="AO4" s="13">
        <v>432.357142857143</v>
      </c>
      <c r="AP4" s="13">
        <v>433.47619047619003</v>
      </c>
      <c r="AQ4" s="13">
        <v>434.59523809523802</v>
      </c>
      <c r="AR4" s="13">
        <v>435.71428571428601</v>
      </c>
      <c r="AS4" s="13">
        <v>436.83333333333297</v>
      </c>
      <c r="AT4" s="13">
        <v>437.95238095238102</v>
      </c>
      <c r="AU4" s="13">
        <v>439.07142857142799</v>
      </c>
      <c r="AV4" s="13">
        <v>440.19047619047598</v>
      </c>
      <c r="AW4" s="13">
        <v>441.30952380952402</v>
      </c>
      <c r="AX4" s="13">
        <v>442.42857142857099</v>
      </c>
      <c r="AY4" s="13">
        <v>443.54761904761898</v>
      </c>
      <c r="AZ4" s="13">
        <v>444.66666666666703</v>
      </c>
    </row>
    <row r="5" spans="1:52" ht="15.75" x14ac:dyDescent="0.25">
      <c r="A5" s="18" t="s">
        <v>8</v>
      </c>
      <c r="B5" s="18" t="s">
        <v>119</v>
      </c>
      <c r="C5" s="13">
        <v>388</v>
      </c>
      <c r="D5" s="13">
        <v>318</v>
      </c>
      <c r="E5" s="13">
        <v>277</v>
      </c>
      <c r="F5" s="13">
        <v>382</v>
      </c>
      <c r="G5" s="13">
        <v>388</v>
      </c>
      <c r="H5" s="13">
        <v>318</v>
      </c>
      <c r="I5" s="13">
        <v>277</v>
      </c>
      <c r="J5" s="13">
        <v>382</v>
      </c>
      <c r="K5" s="13">
        <v>334.92857142857099</v>
      </c>
      <c r="L5" s="13">
        <v>333.52380952380997</v>
      </c>
      <c r="M5" s="13">
        <v>332.11904761904799</v>
      </c>
      <c r="N5" s="13">
        <v>330.71428571428601</v>
      </c>
      <c r="O5" s="13">
        <v>329.30952380952402</v>
      </c>
      <c r="P5" s="13">
        <v>327.90476190476198</v>
      </c>
      <c r="Q5" s="13">
        <v>326.5</v>
      </c>
      <c r="R5" s="13">
        <v>325.09523809523802</v>
      </c>
      <c r="S5" s="13">
        <v>323.69047619047598</v>
      </c>
      <c r="T5" s="13">
        <v>322.28571428571399</v>
      </c>
      <c r="U5" s="13">
        <v>320.88095238095201</v>
      </c>
      <c r="V5" s="13">
        <v>319.47619047619003</v>
      </c>
      <c r="W5" s="13">
        <v>318.07142857142901</v>
      </c>
      <c r="X5" s="13">
        <v>316.66666666666703</v>
      </c>
      <c r="Y5" s="13">
        <v>315.26190476190499</v>
      </c>
      <c r="Z5" s="13">
        <v>313.857142857143</v>
      </c>
      <c r="AA5" s="13">
        <v>312.45238095238102</v>
      </c>
      <c r="AB5" s="13">
        <v>311.04761904761898</v>
      </c>
      <c r="AC5" s="13">
        <v>309.642857142857</v>
      </c>
      <c r="AD5" s="13">
        <v>308.23809523809501</v>
      </c>
      <c r="AE5" s="13">
        <v>306.83333333333297</v>
      </c>
      <c r="AF5" s="13">
        <v>305.42857142857099</v>
      </c>
      <c r="AG5" s="13">
        <v>304.02380952380901</v>
      </c>
      <c r="AH5" s="13">
        <v>302.61904761904799</v>
      </c>
      <c r="AI5" s="13">
        <v>301.21428571428601</v>
      </c>
      <c r="AJ5" s="13">
        <v>299.80952380952402</v>
      </c>
      <c r="AK5" s="13">
        <v>298.40476190476198</v>
      </c>
      <c r="AL5" s="13">
        <v>297</v>
      </c>
      <c r="AM5" s="13">
        <v>295.59523809523802</v>
      </c>
      <c r="AN5" s="13">
        <v>294.19047619047598</v>
      </c>
      <c r="AO5" s="13">
        <v>292.78571428571399</v>
      </c>
      <c r="AP5" s="13">
        <v>291.38095238095201</v>
      </c>
      <c r="AQ5" s="13">
        <v>289.97619047619003</v>
      </c>
      <c r="AR5" s="13">
        <v>288.57142857142901</v>
      </c>
      <c r="AS5" s="13">
        <v>287.16666666666703</v>
      </c>
      <c r="AT5" s="13">
        <v>285.76190476190499</v>
      </c>
      <c r="AU5" s="13">
        <v>284.357142857143</v>
      </c>
      <c r="AV5" s="13">
        <v>282.95238095238102</v>
      </c>
      <c r="AW5" s="13">
        <v>281.54761904761898</v>
      </c>
      <c r="AX5" s="13">
        <v>280.142857142857</v>
      </c>
      <c r="AY5" s="13">
        <v>278.73809523809501</v>
      </c>
      <c r="AZ5" s="13">
        <v>277.33333333333297</v>
      </c>
    </row>
    <row r="6" spans="1:52" ht="15.75" x14ac:dyDescent="0.25">
      <c r="A6" s="18" t="s">
        <v>120</v>
      </c>
      <c r="B6" s="18" t="s">
        <v>118</v>
      </c>
      <c r="C6" s="13">
        <v>393</v>
      </c>
      <c r="D6" s="13">
        <v>331</v>
      </c>
      <c r="E6" s="13">
        <v>412</v>
      </c>
      <c r="F6" s="13">
        <v>229</v>
      </c>
      <c r="G6" s="13">
        <v>393</v>
      </c>
      <c r="H6" s="13">
        <v>331</v>
      </c>
      <c r="I6" s="13">
        <v>412</v>
      </c>
      <c r="J6" s="13">
        <v>229</v>
      </c>
      <c r="K6" s="13">
        <v>297.21428571428601</v>
      </c>
      <c r="L6" s="13">
        <v>287.42857142857099</v>
      </c>
      <c r="M6" s="13">
        <v>277.642857142857</v>
      </c>
      <c r="N6" s="13">
        <v>267.857142857143</v>
      </c>
      <c r="O6" s="13">
        <v>258.07142857142901</v>
      </c>
      <c r="P6" s="13">
        <v>248.28571428571399</v>
      </c>
      <c r="Q6" s="13">
        <v>238.5</v>
      </c>
      <c r="R6" s="13">
        <v>228.71428571428601</v>
      </c>
      <c r="S6" s="13">
        <v>218.92857142857099</v>
      </c>
      <c r="T6" s="13">
        <v>209.142857142857</v>
      </c>
      <c r="U6" s="13">
        <v>199.357142857143</v>
      </c>
      <c r="V6" s="13">
        <v>189.57142857142901</v>
      </c>
      <c r="W6" s="13">
        <v>179.78571428571399</v>
      </c>
      <c r="X6" s="13">
        <v>170</v>
      </c>
      <c r="Y6" s="13">
        <v>160.21428571428601</v>
      </c>
      <c r="Z6" s="13">
        <v>150.42857142857099</v>
      </c>
      <c r="AA6" s="13">
        <v>140.642857142857</v>
      </c>
      <c r="AB6" s="13">
        <v>130.857142857143</v>
      </c>
      <c r="AC6" s="13">
        <v>121.071428571429</v>
      </c>
      <c r="AD6" s="13">
        <v>111.28571428571399</v>
      </c>
      <c r="AE6" s="13">
        <v>101.5</v>
      </c>
      <c r="AF6" s="13">
        <v>91.714285714286007</v>
      </c>
      <c r="AG6" s="13">
        <v>81.928571428571004</v>
      </c>
      <c r="AH6" s="13">
        <v>72.142857142856997</v>
      </c>
      <c r="AI6" s="13">
        <v>62.357142857143003</v>
      </c>
      <c r="AJ6" s="13">
        <v>52.571428571429003</v>
      </c>
      <c r="AK6" s="13">
        <v>42.785714285714</v>
      </c>
      <c r="AL6" s="13">
        <v>33</v>
      </c>
      <c r="AM6" s="13">
        <v>23.214285714286</v>
      </c>
      <c r="AN6" s="13">
        <v>13.428571428571001</v>
      </c>
      <c r="AO6" s="13">
        <v>3.6428571428569998</v>
      </c>
      <c r="AP6" s="13">
        <v>-6.1428571428570002</v>
      </c>
      <c r="AQ6" s="13">
        <v>-15.928571428571001</v>
      </c>
      <c r="AR6" s="13">
        <v>-25.714285714286</v>
      </c>
      <c r="AS6" s="13">
        <v>-35.5</v>
      </c>
      <c r="AT6" s="13">
        <v>-45.285714285714</v>
      </c>
      <c r="AU6" s="13">
        <v>-55.071428571429003</v>
      </c>
      <c r="AV6" s="13">
        <v>-64.857142857143003</v>
      </c>
      <c r="AW6" s="13">
        <v>-74.642857142856997</v>
      </c>
      <c r="AX6" s="13">
        <v>-84.428571428571004</v>
      </c>
      <c r="AY6" s="13">
        <v>-94.214285714286007</v>
      </c>
      <c r="AZ6" s="13">
        <v>-104</v>
      </c>
    </row>
    <row r="7" spans="1:52" ht="15.75" x14ac:dyDescent="0.25">
      <c r="A7" s="18" t="s">
        <v>121</v>
      </c>
      <c r="B7" s="18" t="s">
        <v>122</v>
      </c>
      <c r="C7" s="13">
        <v>218</v>
      </c>
      <c r="D7" s="13">
        <v>232</v>
      </c>
      <c r="E7" s="13">
        <v>229</v>
      </c>
      <c r="F7" s="13">
        <v>292</v>
      </c>
      <c r="G7" s="13">
        <v>218</v>
      </c>
      <c r="H7" s="13">
        <v>232</v>
      </c>
      <c r="I7" s="13">
        <v>229</v>
      </c>
      <c r="J7" s="13">
        <v>292</v>
      </c>
      <c r="K7" s="13">
        <v>266.21428571428601</v>
      </c>
      <c r="L7" s="13">
        <v>271.42857142857099</v>
      </c>
      <c r="M7" s="13">
        <v>276.642857142857</v>
      </c>
      <c r="N7" s="13">
        <v>281.857142857143</v>
      </c>
      <c r="O7" s="13">
        <v>287.07142857142901</v>
      </c>
      <c r="P7" s="13">
        <v>292.28571428571399</v>
      </c>
      <c r="Q7" s="13">
        <v>297.5</v>
      </c>
      <c r="R7" s="13">
        <v>302.71428571428601</v>
      </c>
      <c r="S7" s="13">
        <v>307.92857142857099</v>
      </c>
      <c r="T7" s="13">
        <v>313.142857142857</v>
      </c>
      <c r="U7" s="13">
        <v>318.357142857143</v>
      </c>
      <c r="V7" s="13">
        <v>323.57142857142901</v>
      </c>
      <c r="W7" s="13">
        <v>328.78571428571399</v>
      </c>
      <c r="X7" s="13">
        <v>334</v>
      </c>
      <c r="Y7" s="13">
        <v>339.21428571428601</v>
      </c>
      <c r="Z7" s="13">
        <v>344.42857142857099</v>
      </c>
      <c r="AA7" s="13">
        <v>349.642857142857</v>
      </c>
      <c r="AB7" s="13">
        <v>354.857142857143</v>
      </c>
      <c r="AC7" s="13">
        <v>360.07142857142901</v>
      </c>
      <c r="AD7" s="13">
        <v>365.28571428571399</v>
      </c>
      <c r="AE7" s="13">
        <v>370.5</v>
      </c>
      <c r="AF7" s="13">
        <v>375.71428571428601</v>
      </c>
      <c r="AG7" s="13">
        <v>380.92857142857099</v>
      </c>
      <c r="AH7" s="13">
        <v>386.142857142857</v>
      </c>
      <c r="AI7" s="13">
        <v>391.357142857143</v>
      </c>
      <c r="AJ7" s="13">
        <v>396.57142857142901</v>
      </c>
      <c r="AK7" s="13">
        <v>401.78571428571399</v>
      </c>
      <c r="AL7" s="13">
        <v>407</v>
      </c>
      <c r="AM7" s="13">
        <v>412.21428571428601</v>
      </c>
      <c r="AN7" s="13">
        <v>417.42857142857099</v>
      </c>
      <c r="AO7" s="13">
        <v>422.642857142857</v>
      </c>
      <c r="AP7" s="13">
        <v>427.857142857143</v>
      </c>
      <c r="AQ7" s="13">
        <v>433.07142857142901</v>
      </c>
      <c r="AR7" s="13">
        <v>438.28571428571399</v>
      </c>
      <c r="AS7" s="13">
        <v>443.5</v>
      </c>
      <c r="AT7" s="13">
        <v>448.71428571428601</v>
      </c>
      <c r="AU7" s="13">
        <v>453.92857142857099</v>
      </c>
      <c r="AV7" s="13">
        <v>459.142857142857</v>
      </c>
      <c r="AW7" s="13">
        <v>464.357142857143</v>
      </c>
      <c r="AX7" s="13">
        <v>469.57142857142901</v>
      </c>
      <c r="AY7" s="13">
        <v>474.78571428571399</v>
      </c>
      <c r="AZ7" s="13">
        <v>480</v>
      </c>
    </row>
    <row r="8" spans="1:52" ht="15.75" x14ac:dyDescent="0.25">
      <c r="A8" s="18" t="s">
        <v>123</v>
      </c>
      <c r="B8" s="18" t="s">
        <v>119</v>
      </c>
      <c r="C8" s="13">
        <v>379</v>
      </c>
      <c r="D8" s="13">
        <v>289</v>
      </c>
      <c r="E8" s="13">
        <v>346</v>
      </c>
      <c r="F8" s="13">
        <v>286</v>
      </c>
      <c r="G8" s="13">
        <v>379</v>
      </c>
      <c r="H8" s="13">
        <v>289</v>
      </c>
      <c r="I8" s="13">
        <v>346</v>
      </c>
      <c r="J8" s="13">
        <v>286</v>
      </c>
      <c r="K8" s="13">
        <v>301.21428571428601</v>
      </c>
      <c r="L8" s="13">
        <v>295.92857142857099</v>
      </c>
      <c r="M8" s="13">
        <v>290.642857142857</v>
      </c>
      <c r="N8" s="13">
        <v>285.357142857143</v>
      </c>
      <c r="O8" s="13">
        <v>280.07142857142901</v>
      </c>
      <c r="P8" s="13">
        <v>274.78571428571399</v>
      </c>
      <c r="Q8" s="13">
        <v>269.5</v>
      </c>
      <c r="R8" s="13">
        <v>264.21428571428601</v>
      </c>
      <c r="S8" s="13">
        <v>258.92857142857099</v>
      </c>
      <c r="T8" s="13">
        <v>253.642857142857</v>
      </c>
      <c r="U8" s="13">
        <v>248.357142857143</v>
      </c>
      <c r="V8" s="13">
        <v>243.07142857142901</v>
      </c>
      <c r="W8" s="13">
        <v>237.78571428571399</v>
      </c>
      <c r="X8" s="13">
        <v>232.5</v>
      </c>
      <c r="Y8" s="13">
        <v>227.21428571428601</v>
      </c>
      <c r="Z8" s="13">
        <v>221.92857142857099</v>
      </c>
      <c r="AA8" s="13">
        <v>216.642857142857</v>
      </c>
      <c r="AB8" s="13">
        <v>211.357142857143</v>
      </c>
      <c r="AC8" s="13">
        <v>206.07142857142901</v>
      </c>
      <c r="AD8" s="13">
        <v>200.78571428571399</v>
      </c>
      <c r="AE8" s="13">
        <v>195.5</v>
      </c>
      <c r="AF8" s="13">
        <v>190.21428571428601</v>
      </c>
      <c r="AG8" s="13">
        <v>184.92857142857099</v>
      </c>
      <c r="AH8" s="13">
        <v>179.642857142857</v>
      </c>
      <c r="AI8" s="13">
        <v>174.357142857143</v>
      </c>
      <c r="AJ8" s="13">
        <v>169.07142857142901</v>
      </c>
      <c r="AK8" s="13">
        <v>163.78571428571399</v>
      </c>
      <c r="AL8" s="13">
        <v>158.5</v>
      </c>
      <c r="AM8" s="13">
        <v>153.21428571428601</v>
      </c>
      <c r="AN8" s="13">
        <v>147.92857142857099</v>
      </c>
      <c r="AO8" s="13">
        <v>142.642857142857</v>
      </c>
      <c r="AP8" s="13">
        <v>137.357142857143</v>
      </c>
      <c r="AQ8" s="13">
        <v>132.07142857142799</v>
      </c>
      <c r="AR8" s="13">
        <v>126.78571428571399</v>
      </c>
      <c r="AS8" s="13">
        <v>121.5</v>
      </c>
      <c r="AT8" s="13">
        <v>116.21428571428601</v>
      </c>
      <c r="AU8" s="13">
        <v>110.928571428571</v>
      </c>
      <c r="AV8" s="13">
        <v>105.642857142857</v>
      </c>
      <c r="AW8" s="13">
        <v>100.357142857143</v>
      </c>
      <c r="AX8" s="13">
        <v>95.071428571428001</v>
      </c>
      <c r="AY8" s="13">
        <v>89.785714285713993</v>
      </c>
      <c r="AZ8" s="13">
        <v>84.5</v>
      </c>
    </row>
    <row r="9" spans="1:52" ht="15.75" x14ac:dyDescent="0.25">
      <c r="A9" s="18" t="s">
        <v>124</v>
      </c>
      <c r="B9" s="18" t="s">
        <v>118</v>
      </c>
      <c r="C9" s="13">
        <v>432</v>
      </c>
      <c r="D9" s="13">
        <v>296</v>
      </c>
      <c r="E9" s="13">
        <v>367</v>
      </c>
      <c r="F9" s="13">
        <v>431</v>
      </c>
      <c r="G9" s="13">
        <v>432</v>
      </c>
      <c r="H9" s="13">
        <v>296</v>
      </c>
      <c r="I9" s="13">
        <v>367</v>
      </c>
      <c r="J9" s="13">
        <v>431</v>
      </c>
      <c r="K9" s="13">
        <v>388.78571428571399</v>
      </c>
      <c r="L9" s="13">
        <v>390.40476190476198</v>
      </c>
      <c r="M9" s="13">
        <v>392.02380952380997</v>
      </c>
      <c r="N9" s="13">
        <v>393.642857142857</v>
      </c>
      <c r="O9" s="13">
        <v>395.26190476190499</v>
      </c>
      <c r="P9" s="13">
        <v>396.88095238095201</v>
      </c>
      <c r="Q9" s="13">
        <v>398.5</v>
      </c>
      <c r="R9" s="13">
        <v>400.11904761904799</v>
      </c>
      <c r="S9" s="13">
        <v>401.73809523809501</v>
      </c>
      <c r="T9" s="13">
        <v>403.357142857143</v>
      </c>
      <c r="U9" s="13">
        <v>404.97619047619003</v>
      </c>
      <c r="V9" s="13">
        <v>406.59523809523802</v>
      </c>
      <c r="W9" s="13">
        <v>408.21428571428601</v>
      </c>
      <c r="X9" s="13">
        <v>409.83333333333297</v>
      </c>
      <c r="Y9" s="13">
        <v>411.45238095238102</v>
      </c>
      <c r="Z9" s="13">
        <v>413.07142857142799</v>
      </c>
      <c r="AA9" s="13">
        <v>414.69047619047598</v>
      </c>
      <c r="AB9" s="13">
        <v>416.30952380952402</v>
      </c>
      <c r="AC9" s="13">
        <v>417.92857142857099</v>
      </c>
      <c r="AD9" s="13">
        <v>419.54761904761898</v>
      </c>
      <c r="AE9" s="13">
        <v>421.16666666666703</v>
      </c>
      <c r="AF9" s="13">
        <v>422.78571428571399</v>
      </c>
      <c r="AG9" s="13">
        <v>424.40476190476198</v>
      </c>
      <c r="AH9" s="13">
        <v>426.02380952380997</v>
      </c>
      <c r="AI9" s="13">
        <v>427.642857142857</v>
      </c>
      <c r="AJ9" s="13">
        <v>429.26190476190499</v>
      </c>
      <c r="AK9" s="13">
        <v>430.88095238095201</v>
      </c>
      <c r="AL9" s="13">
        <v>432.5</v>
      </c>
      <c r="AM9" s="13">
        <v>434.11904761904799</v>
      </c>
      <c r="AN9" s="13">
        <v>435.73809523809501</v>
      </c>
      <c r="AO9" s="13">
        <v>437.357142857143</v>
      </c>
      <c r="AP9" s="13">
        <v>438.97619047619099</v>
      </c>
      <c r="AQ9" s="13">
        <v>440.59523809523802</v>
      </c>
      <c r="AR9" s="13">
        <v>442.21428571428601</v>
      </c>
      <c r="AS9" s="13">
        <v>443.83333333333297</v>
      </c>
      <c r="AT9" s="13">
        <v>445.45238095238102</v>
      </c>
      <c r="AU9" s="13">
        <v>447.07142857142901</v>
      </c>
      <c r="AV9" s="13">
        <v>448.69047619047598</v>
      </c>
      <c r="AW9" s="13">
        <v>450.30952380952402</v>
      </c>
      <c r="AX9" s="13">
        <v>451.92857142857099</v>
      </c>
      <c r="AY9" s="13">
        <v>453.54761904761898</v>
      </c>
      <c r="AZ9" s="13">
        <v>455.16666666666703</v>
      </c>
    </row>
    <row r="10" spans="1:52" ht="15.75" x14ac:dyDescent="0.25">
      <c r="A10" s="18" t="s">
        <v>125</v>
      </c>
      <c r="B10" s="18" t="s">
        <v>118</v>
      </c>
      <c r="C10" s="13">
        <v>280</v>
      </c>
      <c r="D10" s="13">
        <v>301</v>
      </c>
      <c r="E10" s="13">
        <v>412</v>
      </c>
      <c r="F10" s="13">
        <v>403</v>
      </c>
      <c r="G10" s="13">
        <v>280</v>
      </c>
      <c r="H10" s="13">
        <v>301</v>
      </c>
      <c r="I10" s="13">
        <v>412</v>
      </c>
      <c r="J10" s="13">
        <v>403</v>
      </c>
      <c r="K10" s="13">
        <v>400.42857142857099</v>
      </c>
      <c r="L10" s="13">
        <v>411.857142857143</v>
      </c>
      <c r="M10" s="13">
        <v>423.28571428571399</v>
      </c>
      <c r="N10" s="13">
        <v>434.71428571428601</v>
      </c>
      <c r="O10" s="13">
        <v>446.142857142857</v>
      </c>
      <c r="P10" s="13">
        <v>457.57142857142901</v>
      </c>
      <c r="Q10" s="13">
        <v>469</v>
      </c>
      <c r="R10" s="13">
        <v>480.42857142857099</v>
      </c>
      <c r="S10" s="13">
        <v>491.857142857143</v>
      </c>
      <c r="T10" s="13">
        <v>503.28571428571399</v>
      </c>
      <c r="U10" s="13">
        <v>514.71428571428601</v>
      </c>
      <c r="V10" s="13">
        <v>526.142857142857</v>
      </c>
      <c r="W10" s="13">
        <v>537.57142857142901</v>
      </c>
      <c r="X10" s="13">
        <v>549</v>
      </c>
      <c r="Y10" s="13">
        <v>560.42857142857099</v>
      </c>
      <c r="Z10" s="13">
        <v>571.857142857143</v>
      </c>
      <c r="AA10" s="13">
        <v>583.28571428571399</v>
      </c>
      <c r="AB10" s="13">
        <v>594.71428571428601</v>
      </c>
      <c r="AC10" s="13">
        <v>606.142857142857</v>
      </c>
      <c r="AD10" s="13">
        <v>617.57142857142901</v>
      </c>
      <c r="AE10" s="13">
        <v>629</v>
      </c>
      <c r="AF10" s="13">
        <v>640.42857142857201</v>
      </c>
      <c r="AG10" s="13">
        <v>651.857142857143</v>
      </c>
      <c r="AH10" s="13">
        <v>663.28571428571399</v>
      </c>
      <c r="AI10" s="13">
        <v>674.71428571428601</v>
      </c>
      <c r="AJ10" s="13">
        <v>686.142857142857</v>
      </c>
      <c r="AK10" s="13">
        <v>697.57142857142901</v>
      </c>
      <c r="AL10" s="13">
        <v>709</v>
      </c>
      <c r="AM10" s="13">
        <v>720.42857142857201</v>
      </c>
      <c r="AN10" s="13">
        <v>731.857142857143</v>
      </c>
      <c r="AO10" s="13">
        <v>743.28571428571399</v>
      </c>
      <c r="AP10" s="13">
        <v>754.71428571428601</v>
      </c>
      <c r="AQ10" s="13">
        <v>766.142857142857</v>
      </c>
      <c r="AR10" s="13">
        <v>777.57142857142901</v>
      </c>
      <c r="AS10" s="13">
        <v>789</v>
      </c>
      <c r="AT10" s="13">
        <v>800.42857142857201</v>
      </c>
      <c r="AU10" s="13">
        <v>811.857142857143</v>
      </c>
      <c r="AV10" s="13">
        <v>823.28571428571399</v>
      </c>
      <c r="AW10" s="13">
        <v>834.71428571428601</v>
      </c>
      <c r="AX10" s="13">
        <v>846.142857142857</v>
      </c>
      <c r="AY10" s="13">
        <v>857.57142857142901</v>
      </c>
      <c r="AZ10" s="13">
        <v>869</v>
      </c>
    </row>
    <row r="11" spans="1:52" ht="15.75" x14ac:dyDescent="0.25">
      <c r="A11" s="18" t="s">
        <v>126</v>
      </c>
      <c r="B11" s="18" t="s">
        <v>122</v>
      </c>
      <c r="C11" s="13">
        <v>434</v>
      </c>
      <c r="D11" s="13">
        <v>279</v>
      </c>
      <c r="E11" s="13">
        <v>363</v>
      </c>
      <c r="F11" s="13">
        <v>266</v>
      </c>
      <c r="G11" s="13">
        <v>434</v>
      </c>
      <c r="H11" s="13">
        <v>279</v>
      </c>
      <c r="I11" s="13">
        <v>363</v>
      </c>
      <c r="J11" s="13">
        <v>266</v>
      </c>
      <c r="K11" s="13">
        <v>290.5</v>
      </c>
      <c r="L11" s="13">
        <v>280.5</v>
      </c>
      <c r="M11" s="13">
        <v>270.5</v>
      </c>
      <c r="N11" s="13">
        <v>260.5</v>
      </c>
      <c r="O11" s="13">
        <v>250.5</v>
      </c>
      <c r="P11" s="13">
        <v>240.5</v>
      </c>
      <c r="Q11" s="13">
        <v>230.5</v>
      </c>
      <c r="R11" s="13">
        <v>220.5</v>
      </c>
      <c r="S11" s="13">
        <v>210.5</v>
      </c>
      <c r="T11" s="13">
        <v>200.5</v>
      </c>
      <c r="U11" s="13">
        <v>190.5</v>
      </c>
      <c r="V11" s="13">
        <v>180.5</v>
      </c>
      <c r="W11" s="13">
        <v>170.5</v>
      </c>
      <c r="X11" s="13">
        <v>160.5</v>
      </c>
      <c r="Y11" s="13">
        <v>150.5</v>
      </c>
      <c r="Z11" s="13">
        <v>140.5</v>
      </c>
      <c r="AA11" s="13">
        <v>130.5</v>
      </c>
      <c r="AB11" s="13">
        <v>120.5</v>
      </c>
      <c r="AC11" s="13">
        <v>110.5</v>
      </c>
      <c r="AD11" s="13">
        <v>100.5</v>
      </c>
      <c r="AE11" s="13">
        <v>90.5</v>
      </c>
      <c r="AF11" s="13">
        <v>80.5</v>
      </c>
      <c r="AG11" s="13">
        <v>70.5</v>
      </c>
      <c r="AH11" s="13">
        <v>60.5</v>
      </c>
      <c r="AI11" s="13">
        <v>50.5</v>
      </c>
      <c r="AJ11" s="13">
        <v>40.5</v>
      </c>
      <c r="AK11" s="13">
        <v>30.5</v>
      </c>
      <c r="AL11" s="13">
        <v>20.5</v>
      </c>
      <c r="AM11" s="13">
        <v>10.5</v>
      </c>
      <c r="AN11" s="13">
        <v>0.5</v>
      </c>
      <c r="AO11" s="13">
        <v>-9.5</v>
      </c>
      <c r="AP11" s="13">
        <v>-19.5</v>
      </c>
      <c r="AQ11" s="13">
        <v>-29.5</v>
      </c>
      <c r="AR11" s="13">
        <v>-39.5</v>
      </c>
      <c r="AS11" s="13">
        <v>-49.5</v>
      </c>
      <c r="AT11" s="13">
        <v>-59.5</v>
      </c>
      <c r="AU11" s="13">
        <v>-69.5</v>
      </c>
      <c r="AV11" s="13">
        <v>-79.5</v>
      </c>
      <c r="AW11" s="13">
        <v>-89.5</v>
      </c>
      <c r="AX11" s="13">
        <v>-99.5</v>
      </c>
      <c r="AY11" s="13">
        <v>-109.5</v>
      </c>
      <c r="AZ11" s="13">
        <v>-119.5</v>
      </c>
    </row>
    <row r="12" spans="1:52" ht="15.75" x14ac:dyDescent="0.25">
      <c r="A12" s="18" t="s">
        <v>0</v>
      </c>
      <c r="B12" s="18" t="s">
        <v>119</v>
      </c>
      <c r="C12" s="13">
        <v>404</v>
      </c>
      <c r="D12" s="13">
        <v>334</v>
      </c>
      <c r="E12" s="13">
        <v>230</v>
      </c>
      <c r="F12" s="13">
        <v>344</v>
      </c>
      <c r="G12" s="13">
        <v>404</v>
      </c>
      <c r="H12" s="13">
        <v>334</v>
      </c>
      <c r="I12" s="13">
        <v>230</v>
      </c>
      <c r="J12" s="13">
        <v>344</v>
      </c>
      <c r="K12" s="13">
        <v>297.57142857142901</v>
      </c>
      <c r="L12" s="13">
        <v>290.80952380952402</v>
      </c>
      <c r="M12" s="13">
        <v>284.04761904761898</v>
      </c>
      <c r="N12" s="13">
        <v>277.28571428571399</v>
      </c>
      <c r="O12" s="13">
        <v>270.52380952380997</v>
      </c>
      <c r="P12" s="13">
        <v>263.76190476190499</v>
      </c>
      <c r="Q12" s="13">
        <v>257</v>
      </c>
      <c r="R12" s="13">
        <v>250.23809523809601</v>
      </c>
      <c r="S12" s="13">
        <v>243.47619047619099</v>
      </c>
      <c r="T12" s="13">
        <v>236.71428571428601</v>
      </c>
      <c r="U12" s="13">
        <v>229.95238095238099</v>
      </c>
      <c r="V12" s="13">
        <v>223.190476190477</v>
      </c>
      <c r="W12" s="13">
        <v>216.42857142857201</v>
      </c>
      <c r="X12" s="13">
        <v>209.666666666667</v>
      </c>
      <c r="Y12" s="13">
        <v>202.90476190476201</v>
      </c>
      <c r="Z12" s="13">
        <v>196.14285714285799</v>
      </c>
      <c r="AA12" s="13">
        <v>189.380952380953</v>
      </c>
      <c r="AB12" s="13">
        <v>182.61904761904799</v>
      </c>
      <c r="AC12" s="13">
        <v>175.857142857143</v>
      </c>
      <c r="AD12" s="13">
        <v>169.09523809523799</v>
      </c>
      <c r="AE12" s="13">
        <v>162.333333333334</v>
      </c>
      <c r="AF12" s="13">
        <v>155.57142857142901</v>
      </c>
      <c r="AG12" s="13">
        <v>148.80952380952399</v>
      </c>
      <c r="AH12" s="13">
        <v>142.04761904761901</v>
      </c>
      <c r="AI12" s="13">
        <v>135.28571428571499</v>
      </c>
      <c r="AJ12" s="13">
        <v>128.52380952381</v>
      </c>
      <c r="AK12" s="13">
        <v>121.761904761905</v>
      </c>
      <c r="AL12" s="13">
        <v>115</v>
      </c>
      <c r="AM12" s="13">
        <v>108.23809523809599</v>
      </c>
      <c r="AN12" s="13">
        <v>101.47619047619099</v>
      </c>
      <c r="AO12" s="13">
        <v>94.714285714285694</v>
      </c>
      <c r="AP12" s="13">
        <v>87.952380952380693</v>
      </c>
      <c r="AQ12" s="13">
        <v>81.190476190476701</v>
      </c>
      <c r="AR12" s="13">
        <v>74.428571428571701</v>
      </c>
      <c r="AS12" s="13">
        <v>67.6666666666667</v>
      </c>
      <c r="AT12" s="13">
        <v>60.904761904761699</v>
      </c>
      <c r="AU12" s="13">
        <v>54.1428571428577</v>
      </c>
      <c r="AV12" s="13">
        <v>47.380952380952699</v>
      </c>
      <c r="AW12" s="13">
        <v>40.619047619047699</v>
      </c>
      <c r="AX12" s="13">
        <v>33.857142857142698</v>
      </c>
      <c r="AY12" s="13">
        <v>27.095238095238699</v>
      </c>
      <c r="AZ12" s="13">
        <v>20.333333333333702</v>
      </c>
    </row>
    <row r="13" spans="1:52" ht="15.75" x14ac:dyDescent="0.25">
      <c r="A13" s="18" t="s">
        <v>123</v>
      </c>
      <c r="B13" s="18" t="s">
        <v>118</v>
      </c>
      <c r="C13" s="13">
        <v>397</v>
      </c>
      <c r="D13" s="13">
        <v>382</v>
      </c>
      <c r="E13" s="13">
        <v>362</v>
      </c>
      <c r="F13" s="13">
        <v>423</v>
      </c>
      <c r="G13" s="13">
        <v>397</v>
      </c>
      <c r="H13" s="13">
        <v>382</v>
      </c>
      <c r="I13" s="13">
        <v>362</v>
      </c>
      <c r="J13" s="13">
        <v>423</v>
      </c>
      <c r="K13" s="13">
        <v>397.21428571428601</v>
      </c>
      <c r="L13" s="13">
        <v>398.59523809523802</v>
      </c>
      <c r="M13" s="13">
        <v>399.97619047619003</v>
      </c>
      <c r="N13" s="13">
        <v>401.357142857143</v>
      </c>
      <c r="O13" s="13">
        <v>402.73809523809501</v>
      </c>
      <c r="P13" s="13">
        <v>404.11904761904799</v>
      </c>
      <c r="Q13" s="13">
        <v>405.5</v>
      </c>
      <c r="R13" s="13">
        <v>406.88095238095201</v>
      </c>
      <c r="S13" s="13">
        <v>408.26190476190499</v>
      </c>
      <c r="T13" s="13">
        <v>409.642857142857</v>
      </c>
      <c r="U13" s="13">
        <v>411.02380952380997</v>
      </c>
      <c r="V13" s="13">
        <v>412.40476190476198</v>
      </c>
      <c r="W13" s="13">
        <v>413.78571428571399</v>
      </c>
      <c r="X13" s="13">
        <v>415.16666666666703</v>
      </c>
      <c r="Y13" s="13">
        <v>416.54761904761898</v>
      </c>
      <c r="Z13" s="13">
        <v>417.92857142857201</v>
      </c>
      <c r="AA13" s="13">
        <v>419.30952380952402</v>
      </c>
      <c r="AB13" s="13">
        <v>420.69047619047598</v>
      </c>
      <c r="AC13" s="13">
        <v>422.07142857142901</v>
      </c>
      <c r="AD13" s="13">
        <v>423.45238095238102</v>
      </c>
      <c r="AE13" s="13">
        <v>424.83333333333297</v>
      </c>
      <c r="AF13" s="13">
        <v>426.21428571428601</v>
      </c>
      <c r="AG13" s="13">
        <v>427.59523809523802</v>
      </c>
      <c r="AH13" s="13">
        <v>428.97619047619003</v>
      </c>
      <c r="AI13" s="13">
        <v>430.357142857143</v>
      </c>
      <c r="AJ13" s="13">
        <v>431.73809523809501</v>
      </c>
      <c r="AK13" s="13">
        <v>433.11904761904799</v>
      </c>
      <c r="AL13" s="13">
        <v>434.5</v>
      </c>
      <c r="AM13" s="13">
        <v>435.88095238095201</v>
      </c>
      <c r="AN13" s="13">
        <v>437.26190476190499</v>
      </c>
      <c r="AO13" s="13">
        <v>438.642857142857</v>
      </c>
      <c r="AP13" s="13">
        <v>440.02380952380901</v>
      </c>
      <c r="AQ13" s="13">
        <v>441.40476190476198</v>
      </c>
      <c r="AR13" s="13">
        <v>442.78571428571399</v>
      </c>
      <c r="AS13" s="13">
        <v>444.16666666666703</v>
      </c>
      <c r="AT13" s="13">
        <v>445.54761904761898</v>
      </c>
      <c r="AU13" s="13">
        <v>446.92857142857201</v>
      </c>
      <c r="AV13" s="13">
        <v>448.30952380952402</v>
      </c>
      <c r="AW13" s="13">
        <v>449.69047619047598</v>
      </c>
      <c r="AX13" s="13">
        <v>451.07142857142901</v>
      </c>
      <c r="AY13" s="13">
        <v>452.45238095238102</v>
      </c>
      <c r="AZ13" s="13">
        <v>453.83333333333297</v>
      </c>
    </row>
    <row r="14" spans="1:52" ht="15.75" x14ac:dyDescent="0.25">
      <c r="A14" s="18" t="s">
        <v>0</v>
      </c>
      <c r="B14" s="18" t="s">
        <v>122</v>
      </c>
      <c r="C14" s="13">
        <v>293</v>
      </c>
      <c r="D14" s="13">
        <v>325</v>
      </c>
      <c r="E14" s="13">
        <v>223</v>
      </c>
      <c r="F14" s="13">
        <v>421</v>
      </c>
      <c r="G14" s="13">
        <v>293</v>
      </c>
      <c r="H14" s="13">
        <v>325</v>
      </c>
      <c r="I14" s="13">
        <v>223</v>
      </c>
      <c r="J14" s="13">
        <v>421</v>
      </c>
      <c r="K14" s="13">
        <v>345.71428571428601</v>
      </c>
      <c r="L14" s="13">
        <v>352.42857142857099</v>
      </c>
      <c r="M14" s="13">
        <v>359.142857142857</v>
      </c>
      <c r="N14" s="13">
        <v>365.857142857143</v>
      </c>
      <c r="O14" s="13">
        <v>372.57142857142901</v>
      </c>
      <c r="P14" s="13">
        <v>379.28571428571399</v>
      </c>
      <c r="Q14" s="13">
        <v>386</v>
      </c>
      <c r="R14" s="13">
        <v>392.71428571428601</v>
      </c>
      <c r="S14" s="13">
        <v>399.42857142857099</v>
      </c>
      <c r="T14" s="13">
        <v>406.142857142857</v>
      </c>
      <c r="U14" s="13">
        <v>412.857142857143</v>
      </c>
      <c r="V14" s="13">
        <v>419.57142857142901</v>
      </c>
      <c r="W14" s="13">
        <v>426.28571428571399</v>
      </c>
      <c r="X14" s="13">
        <v>433</v>
      </c>
      <c r="Y14" s="13">
        <v>439.71428571428601</v>
      </c>
      <c r="Z14" s="13">
        <v>446.42857142857099</v>
      </c>
      <c r="AA14" s="13">
        <v>453.142857142857</v>
      </c>
      <c r="AB14" s="13">
        <v>459.857142857143</v>
      </c>
      <c r="AC14" s="13">
        <v>466.57142857142901</v>
      </c>
      <c r="AD14" s="13">
        <v>473.28571428571399</v>
      </c>
      <c r="AE14" s="13">
        <v>480</v>
      </c>
      <c r="AF14" s="13">
        <v>486.71428571428601</v>
      </c>
      <c r="AG14" s="13">
        <v>493.42857142857099</v>
      </c>
      <c r="AH14" s="13">
        <v>500.142857142857</v>
      </c>
      <c r="AI14" s="13">
        <v>506.857142857143</v>
      </c>
      <c r="AJ14" s="13">
        <v>513.57142857142901</v>
      </c>
      <c r="AK14" s="13">
        <v>520.28571428571399</v>
      </c>
      <c r="AL14" s="13">
        <v>527</v>
      </c>
      <c r="AM14" s="13">
        <v>533.71428571428601</v>
      </c>
      <c r="AN14" s="13">
        <v>540.42857142857099</v>
      </c>
      <c r="AO14" s="13">
        <v>547.142857142857</v>
      </c>
      <c r="AP14" s="13">
        <v>553.857142857143</v>
      </c>
      <c r="AQ14" s="13">
        <v>560.57142857142799</v>
      </c>
      <c r="AR14" s="13">
        <v>567.28571428571399</v>
      </c>
      <c r="AS14" s="13">
        <v>574</v>
      </c>
      <c r="AT14" s="13">
        <v>580.71428571428601</v>
      </c>
      <c r="AU14" s="13">
        <v>587.42857142857099</v>
      </c>
      <c r="AV14" s="13">
        <v>594.142857142857</v>
      </c>
      <c r="AW14" s="13">
        <v>600.857142857143</v>
      </c>
      <c r="AX14" s="13">
        <v>607.57142857142799</v>
      </c>
      <c r="AY14" s="13">
        <v>614.28571428571399</v>
      </c>
      <c r="AZ14" s="13">
        <v>621</v>
      </c>
    </row>
    <row r="15" spans="1:52" ht="15.75" x14ac:dyDescent="0.25">
      <c r="A15" s="18" t="s">
        <v>8</v>
      </c>
      <c r="B15" s="18" t="s">
        <v>122</v>
      </c>
      <c r="C15" s="13">
        <v>342</v>
      </c>
      <c r="D15" s="13">
        <v>377</v>
      </c>
      <c r="E15" s="13">
        <v>258</v>
      </c>
      <c r="F15" s="13">
        <v>350</v>
      </c>
      <c r="G15" s="13">
        <v>342</v>
      </c>
      <c r="H15" s="13">
        <v>377</v>
      </c>
      <c r="I15" s="13">
        <v>258</v>
      </c>
      <c r="J15" s="13">
        <v>350</v>
      </c>
      <c r="K15" s="13">
        <v>321.57142857142901</v>
      </c>
      <c r="L15" s="13">
        <v>319.30952380952402</v>
      </c>
      <c r="M15" s="13">
        <v>317.04761904761898</v>
      </c>
      <c r="N15" s="13">
        <v>314.78571428571399</v>
      </c>
      <c r="O15" s="13">
        <v>312.52380952380997</v>
      </c>
      <c r="P15" s="13">
        <v>310.26190476190499</v>
      </c>
      <c r="Q15" s="13">
        <v>308</v>
      </c>
      <c r="R15" s="13">
        <v>305.73809523809501</v>
      </c>
      <c r="S15" s="13">
        <v>303.47619047619003</v>
      </c>
      <c r="T15" s="13">
        <v>301.21428571428601</v>
      </c>
      <c r="U15" s="13">
        <v>298.95238095238102</v>
      </c>
      <c r="V15" s="13">
        <v>296.69047619047598</v>
      </c>
      <c r="W15" s="13">
        <v>294.42857142857201</v>
      </c>
      <c r="X15" s="13">
        <v>292.16666666666703</v>
      </c>
      <c r="Y15" s="13">
        <v>289.90476190476198</v>
      </c>
      <c r="Z15" s="13">
        <v>287.642857142857</v>
      </c>
      <c r="AA15" s="13">
        <v>285.38095238095201</v>
      </c>
      <c r="AB15" s="13">
        <v>283.11904761904799</v>
      </c>
      <c r="AC15" s="13">
        <v>280.857142857143</v>
      </c>
      <c r="AD15" s="13">
        <v>278.59523809523802</v>
      </c>
      <c r="AE15" s="13">
        <v>276.33333333333297</v>
      </c>
      <c r="AF15" s="13">
        <v>274.07142857142901</v>
      </c>
      <c r="AG15" s="13">
        <v>271.80952380952402</v>
      </c>
      <c r="AH15" s="13">
        <v>269.54761904761898</v>
      </c>
      <c r="AI15" s="13">
        <v>267.28571428571399</v>
      </c>
      <c r="AJ15" s="13">
        <v>265.02380952380997</v>
      </c>
      <c r="AK15" s="13">
        <v>262.76190476190499</v>
      </c>
      <c r="AL15" s="13">
        <v>260.5</v>
      </c>
      <c r="AM15" s="13">
        <v>258.23809523809501</v>
      </c>
      <c r="AN15" s="13">
        <v>255.97619047619</v>
      </c>
      <c r="AO15" s="13">
        <v>253.71428571428601</v>
      </c>
      <c r="AP15" s="13">
        <v>251.45238095238099</v>
      </c>
      <c r="AQ15" s="13">
        <v>249.19047619047601</v>
      </c>
      <c r="AR15" s="13">
        <v>246.92857142857201</v>
      </c>
      <c r="AS15" s="13">
        <v>244.666666666667</v>
      </c>
      <c r="AT15" s="13">
        <v>242.40476190476201</v>
      </c>
      <c r="AU15" s="13">
        <v>240.142857142857</v>
      </c>
      <c r="AV15" s="13">
        <v>237.880952380953</v>
      </c>
      <c r="AW15" s="13">
        <v>235.61904761904799</v>
      </c>
      <c r="AX15" s="13">
        <v>233.357142857143</v>
      </c>
      <c r="AY15" s="13">
        <v>231.09523809523799</v>
      </c>
      <c r="AZ15" s="13">
        <v>228.833333333334</v>
      </c>
    </row>
    <row r="16" spans="1:52" ht="15.75" x14ac:dyDescent="0.25">
      <c r="A16" s="18" t="s">
        <v>126</v>
      </c>
      <c r="B16" s="18" t="s">
        <v>118</v>
      </c>
      <c r="C16" s="13">
        <v>386</v>
      </c>
      <c r="D16" s="13">
        <v>250</v>
      </c>
      <c r="E16" s="13">
        <v>356</v>
      </c>
      <c r="F16" s="13">
        <v>415</v>
      </c>
      <c r="G16" s="13">
        <v>386</v>
      </c>
      <c r="H16" s="13">
        <v>250</v>
      </c>
      <c r="I16" s="13">
        <v>356</v>
      </c>
      <c r="J16" s="13">
        <v>415</v>
      </c>
      <c r="K16" s="13">
        <v>372.42857142857099</v>
      </c>
      <c r="L16" s="13">
        <v>377.02380952380901</v>
      </c>
      <c r="M16" s="13">
        <v>381.61904761904799</v>
      </c>
      <c r="N16" s="13">
        <v>386.21428571428601</v>
      </c>
      <c r="O16" s="13">
        <v>390.80952380952402</v>
      </c>
      <c r="P16" s="13">
        <v>395.40476190476198</v>
      </c>
      <c r="Q16" s="13">
        <v>400</v>
      </c>
      <c r="R16" s="13">
        <v>404.59523809523802</v>
      </c>
      <c r="S16" s="13">
        <v>409.19047619047598</v>
      </c>
      <c r="T16" s="13">
        <v>413.78571428571399</v>
      </c>
      <c r="U16" s="13">
        <v>418.38095238095201</v>
      </c>
      <c r="V16" s="13">
        <v>422.97619047619003</v>
      </c>
      <c r="W16" s="13">
        <v>427.57142857142901</v>
      </c>
      <c r="X16" s="13">
        <v>432.16666666666703</v>
      </c>
      <c r="Y16" s="13">
        <v>436.76190476190499</v>
      </c>
      <c r="Z16" s="13">
        <v>441.357142857143</v>
      </c>
      <c r="AA16" s="13">
        <v>445.95238095238102</v>
      </c>
      <c r="AB16" s="13">
        <v>450.54761904761898</v>
      </c>
      <c r="AC16" s="13">
        <v>455.142857142857</v>
      </c>
      <c r="AD16" s="13">
        <v>459.73809523809598</v>
      </c>
      <c r="AE16" s="13">
        <v>464.333333333334</v>
      </c>
      <c r="AF16" s="13">
        <v>468.92857142857201</v>
      </c>
      <c r="AG16" s="13">
        <v>473.52380952380997</v>
      </c>
      <c r="AH16" s="13">
        <v>478.11904761904799</v>
      </c>
      <c r="AI16" s="13">
        <v>482.71428571428601</v>
      </c>
      <c r="AJ16" s="13">
        <v>487.30952380952402</v>
      </c>
      <c r="AK16" s="13">
        <v>491.90476190476198</v>
      </c>
      <c r="AL16" s="13">
        <v>496.5</v>
      </c>
      <c r="AM16" s="13">
        <v>501.09523809523802</v>
      </c>
      <c r="AN16" s="13">
        <v>505.69047619047598</v>
      </c>
      <c r="AO16" s="13">
        <v>510.28571428571502</v>
      </c>
      <c r="AP16" s="13">
        <v>514.88095238095298</v>
      </c>
      <c r="AQ16" s="13">
        <v>519.47619047619105</v>
      </c>
      <c r="AR16" s="13">
        <v>524.07142857142901</v>
      </c>
      <c r="AS16" s="13">
        <v>528.66666666666697</v>
      </c>
      <c r="AT16" s="13">
        <v>533.26190476190504</v>
      </c>
      <c r="AU16" s="13">
        <v>537.857142857143</v>
      </c>
      <c r="AV16" s="13">
        <v>542.45238095238096</v>
      </c>
      <c r="AW16" s="13">
        <v>547.04761904761904</v>
      </c>
      <c r="AX16" s="13">
        <v>551.642857142857</v>
      </c>
      <c r="AY16" s="13">
        <v>556.23809523809496</v>
      </c>
      <c r="AZ16" s="13">
        <v>560.83333333333405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F53A-9615-4180-B252-C0B3A3178349}">
  <dimension ref="A1:N21"/>
  <sheetViews>
    <sheetView showGridLines="0" zoomScale="70" zoomScaleNormal="70" workbookViewId="0">
      <selection activeCell="K21" sqref="K21"/>
    </sheetView>
  </sheetViews>
  <sheetFormatPr defaultRowHeight="20.100000000000001" customHeight="1" x14ac:dyDescent="0.25"/>
  <cols>
    <col min="1" max="1" width="17.42578125" style="23" customWidth="1"/>
    <col min="2" max="2" width="13.5703125" style="23" bestFit="1" customWidth="1"/>
    <col min="3" max="3" width="13.7109375" style="23" bestFit="1" customWidth="1"/>
    <col min="4" max="4" width="14.5703125" style="23" bestFit="1" customWidth="1"/>
    <col min="5" max="5" width="14.7109375" style="23" bestFit="1" customWidth="1"/>
    <col min="6" max="7" width="21.7109375" style="23" customWidth="1"/>
    <col min="8" max="8" width="21.28515625" style="23" customWidth="1"/>
    <col min="9" max="9" width="26.7109375" style="23" bestFit="1" customWidth="1"/>
    <col min="10" max="10" width="9.140625" style="23"/>
    <col min="11" max="11" width="24.42578125" style="23" bestFit="1" customWidth="1"/>
    <col min="12" max="12" width="22.28515625" style="1" bestFit="1" customWidth="1"/>
    <col min="13" max="13" width="21.5703125" style="23" bestFit="1" customWidth="1"/>
    <col min="14" max="14" width="24.5703125" style="23" bestFit="1" customWidth="1"/>
    <col min="15" max="16384" width="9.140625" style="23"/>
  </cols>
  <sheetData>
    <row r="1" spans="1:14" ht="20.100000000000001" customHeight="1" thickBot="1" x14ac:dyDescent="0.3">
      <c r="A1" s="19" t="s">
        <v>4</v>
      </c>
      <c r="B1" s="20" t="s">
        <v>127</v>
      </c>
      <c r="C1" s="20" t="s">
        <v>128</v>
      </c>
      <c r="D1" s="20" t="s">
        <v>129</v>
      </c>
      <c r="E1" s="20" t="s">
        <v>130</v>
      </c>
      <c r="F1" s="20" t="s">
        <v>131</v>
      </c>
      <c r="G1" s="20" t="s">
        <v>132</v>
      </c>
      <c r="H1" s="21" t="s">
        <v>133</v>
      </c>
      <c r="I1" s="22" t="s">
        <v>134</v>
      </c>
      <c r="K1" s="24" t="s">
        <v>135</v>
      </c>
      <c r="L1" s="24" t="s">
        <v>136</v>
      </c>
      <c r="M1" s="24" t="s">
        <v>137</v>
      </c>
    </row>
    <row r="2" spans="1:14" ht="20.100000000000001" customHeight="1" thickBot="1" x14ac:dyDescent="0.3">
      <c r="A2" s="25">
        <v>41646</v>
      </c>
      <c r="B2" s="26" t="s">
        <v>138</v>
      </c>
      <c r="C2" s="26" t="s">
        <v>139</v>
      </c>
      <c r="D2" s="26">
        <v>34</v>
      </c>
      <c r="E2" s="27">
        <v>184.2</v>
      </c>
      <c r="F2" s="28"/>
      <c r="G2" s="27"/>
      <c r="H2" s="27"/>
      <c r="I2" s="27"/>
      <c r="K2" s="48"/>
      <c r="L2" s="29"/>
      <c r="M2" s="30"/>
    </row>
    <row r="3" spans="1:14" ht="20.100000000000001" customHeight="1" x14ac:dyDescent="0.25">
      <c r="A3" s="31">
        <v>41302</v>
      </c>
      <c r="B3" s="32" t="s">
        <v>140</v>
      </c>
      <c r="C3" s="32" t="s">
        <v>139</v>
      </c>
      <c r="D3" s="32">
        <v>30</v>
      </c>
      <c r="E3" s="33">
        <v>503</v>
      </c>
      <c r="F3" s="28"/>
      <c r="G3" s="27"/>
      <c r="H3" s="27"/>
      <c r="I3" s="27"/>
      <c r="L3" s="34"/>
    </row>
    <row r="4" spans="1:14" ht="20.100000000000001" customHeight="1" x14ac:dyDescent="0.25">
      <c r="A4" s="31">
        <v>41408</v>
      </c>
      <c r="B4" s="32" t="s">
        <v>141</v>
      </c>
      <c r="C4" s="32" t="s">
        <v>142</v>
      </c>
      <c r="D4" s="32">
        <v>36</v>
      </c>
      <c r="E4" s="33">
        <v>255</v>
      </c>
      <c r="F4" s="28"/>
      <c r="G4" s="27"/>
      <c r="H4" s="27"/>
      <c r="I4" s="27"/>
      <c r="L4" s="35"/>
    </row>
    <row r="5" spans="1:14" ht="20.100000000000001" customHeight="1" thickBot="1" x14ac:dyDescent="0.3">
      <c r="A5" s="31">
        <v>41513</v>
      </c>
      <c r="B5" s="32" t="s">
        <v>140</v>
      </c>
      <c r="C5" s="32" t="s">
        <v>139</v>
      </c>
      <c r="D5" s="32">
        <v>74</v>
      </c>
      <c r="E5" s="33">
        <v>156</v>
      </c>
      <c r="F5" s="28"/>
      <c r="G5" s="27"/>
      <c r="H5" s="27"/>
      <c r="I5" s="27"/>
      <c r="L5" s="35"/>
    </row>
    <row r="6" spans="1:14" ht="20.100000000000001" customHeight="1" thickBot="1" x14ac:dyDescent="0.3">
      <c r="A6" s="31">
        <v>41597</v>
      </c>
      <c r="B6" s="32" t="s">
        <v>143</v>
      </c>
      <c r="C6" s="32" t="s">
        <v>139</v>
      </c>
      <c r="D6" s="32">
        <v>10</v>
      </c>
      <c r="E6" s="33">
        <v>708</v>
      </c>
      <c r="F6" s="28"/>
      <c r="G6" s="27"/>
      <c r="H6" s="27"/>
      <c r="I6" s="27"/>
      <c r="K6" s="36" t="s">
        <v>144</v>
      </c>
      <c r="L6" s="37" t="s">
        <v>145</v>
      </c>
      <c r="M6" s="37" t="s">
        <v>146</v>
      </c>
      <c r="N6" s="38"/>
    </row>
    <row r="7" spans="1:14" ht="20.100000000000001" customHeight="1" x14ac:dyDescent="0.25">
      <c r="A7" s="31">
        <v>41833</v>
      </c>
      <c r="B7" s="32" t="s">
        <v>143</v>
      </c>
      <c r="C7" s="32" t="s">
        <v>147</v>
      </c>
      <c r="D7" s="32">
        <v>38</v>
      </c>
      <c r="E7" s="33">
        <v>559</v>
      </c>
      <c r="F7" s="28"/>
      <c r="G7" s="27"/>
      <c r="H7" s="27"/>
      <c r="I7" s="27"/>
      <c r="K7" s="39" t="s">
        <v>139</v>
      </c>
      <c r="L7" s="26">
        <v>1000</v>
      </c>
      <c r="M7" s="26">
        <f>SUMIF($C$1:$C$20,K7,D1:D20)</f>
        <v>960</v>
      </c>
      <c r="N7" s="40"/>
    </row>
    <row r="8" spans="1:14" ht="20.100000000000001" customHeight="1" x14ac:dyDescent="0.25">
      <c r="A8" s="31">
        <v>41982</v>
      </c>
      <c r="B8" s="32" t="s">
        <v>140</v>
      </c>
      <c r="C8" s="32" t="s">
        <v>148</v>
      </c>
      <c r="D8" s="32">
        <v>90</v>
      </c>
      <c r="E8" s="33">
        <v>981</v>
      </c>
      <c r="F8" s="28"/>
      <c r="G8" s="27"/>
      <c r="H8" s="27"/>
      <c r="I8" s="27"/>
      <c r="K8" s="41" t="s">
        <v>142</v>
      </c>
      <c r="L8" s="32">
        <v>3562</v>
      </c>
      <c r="M8" s="32">
        <f>SUMIF($C$1:$C$20,K8,D2:D21)</f>
        <v>470</v>
      </c>
      <c r="N8" s="40"/>
    </row>
    <row r="9" spans="1:14" ht="20.100000000000001" customHeight="1" x14ac:dyDescent="0.25">
      <c r="A9" s="31">
        <v>41125</v>
      </c>
      <c r="B9" s="32" t="s">
        <v>141</v>
      </c>
      <c r="C9" s="32" t="s">
        <v>148</v>
      </c>
      <c r="D9" s="32">
        <v>46</v>
      </c>
      <c r="E9" s="33">
        <v>779</v>
      </c>
      <c r="F9" s="28"/>
      <c r="G9" s="27"/>
      <c r="H9" s="27"/>
      <c r="I9" s="27"/>
      <c r="K9" s="41" t="s">
        <v>148</v>
      </c>
      <c r="L9" s="32">
        <v>4520</v>
      </c>
      <c r="M9" s="32">
        <f>SUMIF($C$1:$C$20,K9,D3:D22)</f>
        <v>358</v>
      </c>
      <c r="N9" s="40"/>
    </row>
    <row r="10" spans="1:14" ht="20.100000000000001" customHeight="1" x14ac:dyDescent="0.25">
      <c r="A10" s="31">
        <v>41651</v>
      </c>
      <c r="B10" s="32" t="s">
        <v>149</v>
      </c>
      <c r="C10" s="32" t="s">
        <v>147</v>
      </c>
      <c r="D10" s="32">
        <v>70</v>
      </c>
      <c r="E10" s="33">
        <v>199</v>
      </c>
      <c r="F10" s="28"/>
      <c r="G10" s="27"/>
      <c r="H10" s="27"/>
      <c r="I10" s="27"/>
      <c r="K10" s="41" t="s">
        <v>147</v>
      </c>
      <c r="L10" s="32">
        <v>9523</v>
      </c>
      <c r="M10" s="32">
        <f>SUMIF($C$1:$C$20,K10,D4:D23)</f>
        <v>418</v>
      </c>
      <c r="N10" s="40"/>
    </row>
    <row r="11" spans="1:14" ht="20.100000000000001" customHeight="1" thickBot="1" x14ac:dyDescent="0.3">
      <c r="A11" s="31">
        <v>41159</v>
      </c>
      <c r="B11" s="32" t="s">
        <v>138</v>
      </c>
      <c r="C11" s="32" t="s">
        <v>142</v>
      </c>
      <c r="D11" s="32">
        <v>188</v>
      </c>
      <c r="E11" s="33">
        <v>212</v>
      </c>
      <c r="F11" s="28"/>
      <c r="G11" s="27"/>
      <c r="H11" s="27"/>
      <c r="I11" s="27"/>
      <c r="K11" s="42" t="s">
        <v>139</v>
      </c>
      <c r="L11" s="43">
        <v>2500</v>
      </c>
      <c r="M11" s="43">
        <f>SUMIF($C$1:$C$20,K11,D5:D24)</f>
        <v>374</v>
      </c>
      <c r="N11" s="40"/>
    </row>
    <row r="12" spans="1:14" ht="20.100000000000001" customHeight="1" x14ac:dyDescent="0.25">
      <c r="A12" s="31">
        <v>41734</v>
      </c>
      <c r="B12" s="32" t="s">
        <v>138</v>
      </c>
      <c r="C12" s="32" t="s">
        <v>142</v>
      </c>
      <c r="D12" s="32">
        <v>156</v>
      </c>
      <c r="E12" s="33">
        <v>715</v>
      </c>
      <c r="F12" s="28"/>
      <c r="G12" s="27"/>
      <c r="H12" s="27"/>
      <c r="I12" s="27"/>
      <c r="L12" s="35"/>
    </row>
    <row r="13" spans="1:14" ht="20.100000000000001" customHeight="1" x14ac:dyDescent="0.25">
      <c r="A13" s="31">
        <v>41863</v>
      </c>
      <c r="B13" s="32" t="s">
        <v>140</v>
      </c>
      <c r="C13" s="32" t="s">
        <v>139</v>
      </c>
      <c r="D13" s="32">
        <v>240</v>
      </c>
      <c r="E13" s="33">
        <v>855</v>
      </c>
      <c r="F13" s="28"/>
      <c r="G13" s="27"/>
      <c r="H13" s="27"/>
      <c r="I13" s="27"/>
      <c r="L13" s="35"/>
    </row>
    <row r="14" spans="1:14" ht="20.100000000000001" customHeight="1" thickBot="1" x14ac:dyDescent="0.3">
      <c r="A14" s="31">
        <v>41197</v>
      </c>
      <c r="B14" s="32" t="s">
        <v>143</v>
      </c>
      <c r="C14" s="32" t="s">
        <v>139</v>
      </c>
      <c r="D14" s="32">
        <v>38</v>
      </c>
      <c r="E14" s="33">
        <v>373</v>
      </c>
      <c r="F14" s="28"/>
      <c r="G14" s="27"/>
      <c r="H14" s="27"/>
      <c r="I14" s="27"/>
      <c r="K14" s="44" t="s">
        <v>150</v>
      </c>
      <c r="L14" s="35"/>
    </row>
    <row r="15" spans="1:14" ht="20.100000000000001" customHeight="1" thickBot="1" x14ac:dyDescent="0.3">
      <c r="A15" s="31">
        <v>41562</v>
      </c>
      <c r="B15" s="32" t="s">
        <v>149</v>
      </c>
      <c r="C15" s="32" t="s">
        <v>147</v>
      </c>
      <c r="D15" s="32">
        <v>50</v>
      </c>
      <c r="E15" s="33">
        <v>578</v>
      </c>
      <c r="F15" s="28"/>
      <c r="G15" s="27"/>
      <c r="H15" s="27"/>
      <c r="I15" s="27"/>
      <c r="K15" s="45" t="s">
        <v>144</v>
      </c>
      <c r="L15" s="45" t="s">
        <v>151</v>
      </c>
      <c r="M15" s="20" t="s">
        <v>131</v>
      </c>
    </row>
    <row r="16" spans="1:14" ht="20.100000000000001" customHeight="1" x14ac:dyDescent="0.25">
      <c r="A16" s="31">
        <v>41675</v>
      </c>
      <c r="B16" s="32" t="s">
        <v>143</v>
      </c>
      <c r="C16" s="32" t="s">
        <v>139</v>
      </c>
      <c r="D16" s="32">
        <v>188</v>
      </c>
      <c r="E16" s="33">
        <v>672</v>
      </c>
      <c r="F16" s="28"/>
      <c r="G16" s="27"/>
      <c r="H16" s="27"/>
      <c r="I16" s="27"/>
      <c r="K16" s="45" t="s">
        <v>147</v>
      </c>
      <c r="L16" s="46"/>
      <c r="M16" s="46"/>
    </row>
    <row r="17" spans="1:12" ht="20.100000000000001" customHeight="1" x14ac:dyDescent="0.25">
      <c r="A17" s="31">
        <v>41275</v>
      </c>
      <c r="B17" s="32" t="s">
        <v>138</v>
      </c>
      <c r="C17" s="32" t="s">
        <v>139</v>
      </c>
      <c r="D17" s="32">
        <v>2</v>
      </c>
      <c r="E17" s="33">
        <v>324</v>
      </c>
      <c r="F17" s="28"/>
      <c r="G17" s="27"/>
      <c r="H17" s="27"/>
      <c r="I17" s="27"/>
      <c r="L17" s="23"/>
    </row>
    <row r="18" spans="1:12" ht="20.100000000000001" customHeight="1" x14ac:dyDescent="0.25">
      <c r="A18" s="31">
        <v>41275</v>
      </c>
      <c r="B18" s="32" t="s">
        <v>141</v>
      </c>
      <c r="C18" s="32" t="s">
        <v>148</v>
      </c>
      <c r="D18" s="32">
        <v>108</v>
      </c>
      <c r="E18" s="33">
        <v>791</v>
      </c>
      <c r="F18" s="28"/>
      <c r="G18" s="27"/>
      <c r="H18" s="27"/>
      <c r="I18" s="27"/>
      <c r="L18" s="23"/>
    </row>
    <row r="19" spans="1:12" ht="20.100000000000001" customHeight="1" x14ac:dyDescent="0.25">
      <c r="A19" s="31">
        <v>41282</v>
      </c>
      <c r="B19" s="32" t="s">
        <v>138</v>
      </c>
      <c r="C19" s="32" t="s">
        <v>139</v>
      </c>
      <c r="D19" s="32">
        <v>244</v>
      </c>
      <c r="E19" s="33">
        <v>856</v>
      </c>
      <c r="F19" s="28"/>
      <c r="G19" s="27"/>
      <c r="H19" s="27"/>
      <c r="I19" s="27"/>
      <c r="L19" s="23"/>
    </row>
    <row r="20" spans="1:12" ht="20.100000000000001" customHeight="1" x14ac:dyDescent="0.25">
      <c r="A20" s="31">
        <v>41282</v>
      </c>
      <c r="B20" s="32" t="s">
        <v>140</v>
      </c>
      <c r="C20" s="32" t="s">
        <v>139</v>
      </c>
      <c r="D20" s="32">
        <v>100</v>
      </c>
      <c r="E20" s="33">
        <v>894</v>
      </c>
      <c r="F20" s="28"/>
      <c r="G20" s="27"/>
      <c r="H20" s="27"/>
      <c r="I20" s="27"/>
      <c r="L20" s="23"/>
    </row>
    <row r="21" spans="1:12" ht="20.100000000000001" customHeight="1" x14ac:dyDescent="0.25">
      <c r="E21" s="47"/>
    </row>
  </sheetData>
  <autoFilter ref="A1:I20" xr:uid="{50B0F53A-9615-4180-B252-C0B3A3178349}"/>
  <dataValidations count="1">
    <dataValidation type="list" allowBlank="1" showInputMessage="1" showErrorMessage="1" sqref="K16" xr:uid="{35B9FC5B-432C-403F-8E13-087CDF2578A2}">
      <formula1>$K$7:$K$11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5640-F3DB-4787-A8ED-0853B131B818}">
  <dimension ref="A1:L23"/>
  <sheetViews>
    <sheetView showGridLines="0" zoomScale="70" zoomScaleNormal="70" workbookViewId="0">
      <selection activeCell="K23" sqref="K23"/>
    </sheetView>
  </sheetViews>
  <sheetFormatPr defaultRowHeight="20.100000000000001" customHeight="1" x14ac:dyDescent="0.25"/>
  <cols>
    <col min="1" max="1" width="14" style="23" bestFit="1" customWidth="1"/>
    <col min="2" max="2" width="13.5703125" style="23" bestFit="1" customWidth="1"/>
    <col min="3" max="3" width="13.7109375" style="23" bestFit="1" customWidth="1"/>
    <col min="4" max="4" width="14.7109375" style="23" bestFit="1" customWidth="1"/>
    <col min="5" max="5" width="15.42578125" style="23" bestFit="1" customWidth="1"/>
    <col min="6" max="6" width="20.42578125" style="23" bestFit="1" customWidth="1"/>
    <col min="7" max="7" width="17.5703125" style="23" bestFit="1" customWidth="1"/>
    <col min="8" max="8" width="22.5703125" style="23" bestFit="1" customWidth="1"/>
    <col min="9" max="9" width="34" style="23" bestFit="1" customWidth="1"/>
    <col min="10" max="10" width="9.140625" style="23"/>
    <col min="11" max="11" width="33.28515625" style="23" bestFit="1" customWidth="1"/>
    <col min="12" max="12" width="22.28515625" style="1" bestFit="1" customWidth="1"/>
    <col min="13" max="13" width="20" style="23" bestFit="1" customWidth="1"/>
    <col min="14" max="14" width="24.5703125" style="23" bestFit="1" customWidth="1"/>
    <col min="15" max="16384" width="9.140625" style="23"/>
  </cols>
  <sheetData>
    <row r="1" spans="1:12" ht="16.5" thickBot="1" x14ac:dyDescent="0.3">
      <c r="A1" s="49" t="s">
        <v>4</v>
      </c>
      <c r="B1" s="49" t="s">
        <v>127</v>
      </c>
      <c r="C1" s="49" t="s">
        <v>128</v>
      </c>
      <c r="D1" s="49" t="s">
        <v>129</v>
      </c>
      <c r="E1" s="49" t="s">
        <v>130</v>
      </c>
      <c r="F1" s="49" t="s">
        <v>242</v>
      </c>
      <c r="G1" s="49" t="s">
        <v>243</v>
      </c>
      <c r="H1" s="49" t="s">
        <v>244</v>
      </c>
      <c r="I1" s="49" t="s">
        <v>245</v>
      </c>
      <c r="L1" s="35"/>
    </row>
    <row r="2" spans="1:12" ht="20.100000000000001" customHeight="1" x14ac:dyDescent="0.25">
      <c r="A2" s="25">
        <v>41646</v>
      </c>
      <c r="B2" s="26" t="s">
        <v>138</v>
      </c>
      <c r="C2" s="26" t="s">
        <v>139</v>
      </c>
      <c r="D2" s="26">
        <v>24</v>
      </c>
      <c r="E2" s="27">
        <v>184.2</v>
      </c>
      <c r="F2" s="28"/>
      <c r="G2" s="27"/>
      <c r="H2" s="27"/>
      <c r="I2" s="27"/>
      <c r="K2" s="50" t="s">
        <v>152</v>
      </c>
      <c r="L2" s="57"/>
    </row>
    <row r="3" spans="1:12" ht="20.100000000000001" customHeight="1" thickBot="1" x14ac:dyDescent="0.3">
      <c r="A3" s="31">
        <v>41302</v>
      </c>
      <c r="B3" s="32" t="s">
        <v>140</v>
      </c>
      <c r="C3" s="32" t="s">
        <v>139</v>
      </c>
      <c r="D3" s="32">
        <v>30</v>
      </c>
      <c r="E3" s="33">
        <v>503</v>
      </c>
      <c r="F3" s="28"/>
      <c r="G3" s="27"/>
      <c r="H3" s="27"/>
      <c r="I3" s="27"/>
      <c r="K3" s="50" t="s">
        <v>153</v>
      </c>
      <c r="L3" s="58"/>
    </row>
    <row r="4" spans="1:12" ht="20.100000000000001" customHeight="1" thickBot="1" x14ac:dyDescent="0.3">
      <c r="A4" s="31">
        <v>41408</v>
      </c>
      <c r="B4" s="32" t="s">
        <v>141</v>
      </c>
      <c r="C4" s="32" t="s">
        <v>142</v>
      </c>
      <c r="D4" s="32">
        <v>36</v>
      </c>
      <c r="E4" s="33">
        <v>255</v>
      </c>
      <c r="F4" s="28"/>
      <c r="G4" s="27"/>
      <c r="H4" s="27"/>
      <c r="I4" s="27"/>
      <c r="L4" s="35"/>
    </row>
    <row r="5" spans="1:12" ht="20.100000000000001" customHeight="1" x14ac:dyDescent="0.25">
      <c r="A5" s="31">
        <v>41513</v>
      </c>
      <c r="B5" s="32" t="s">
        <v>140</v>
      </c>
      <c r="C5" s="32" t="s">
        <v>142</v>
      </c>
      <c r="D5" s="32">
        <v>74</v>
      </c>
      <c r="E5" s="33">
        <v>156</v>
      </c>
      <c r="F5" s="28"/>
      <c r="G5" s="27"/>
      <c r="H5" s="27"/>
      <c r="I5" s="27"/>
      <c r="K5" s="50" t="s">
        <v>246</v>
      </c>
      <c r="L5" s="51"/>
    </row>
    <row r="6" spans="1:12" ht="20.100000000000001" customHeight="1" thickBot="1" x14ac:dyDescent="0.3">
      <c r="A6" s="31">
        <v>41597</v>
      </c>
      <c r="B6" s="32" t="s">
        <v>143</v>
      </c>
      <c r="C6" s="32" t="s">
        <v>139</v>
      </c>
      <c r="D6" s="32">
        <v>10</v>
      </c>
      <c r="E6" s="33">
        <v>708</v>
      </c>
      <c r="F6" s="28"/>
      <c r="G6" s="27"/>
      <c r="H6" s="27"/>
      <c r="I6" s="27"/>
      <c r="K6" s="50" t="s">
        <v>247</v>
      </c>
      <c r="L6" s="52"/>
    </row>
    <row r="7" spans="1:12" ht="20.100000000000001" customHeight="1" thickBot="1" x14ac:dyDescent="0.3">
      <c r="A7" s="31">
        <v>41833</v>
      </c>
      <c r="B7" s="32" t="s">
        <v>143</v>
      </c>
      <c r="C7" s="32" t="s">
        <v>147</v>
      </c>
      <c r="D7" s="32">
        <v>38</v>
      </c>
      <c r="E7" s="33">
        <v>559</v>
      </c>
      <c r="F7" s="28"/>
      <c r="G7" s="27"/>
      <c r="H7" s="27"/>
      <c r="I7" s="27"/>
    </row>
    <row r="8" spans="1:12" ht="20.100000000000001" customHeight="1" x14ac:dyDescent="0.25">
      <c r="A8" s="31">
        <v>41982</v>
      </c>
      <c r="B8" s="32" t="s">
        <v>140</v>
      </c>
      <c r="C8" s="32" t="s">
        <v>148</v>
      </c>
      <c r="D8" s="32">
        <v>90</v>
      </c>
      <c r="E8" s="33">
        <v>981</v>
      </c>
      <c r="F8" s="28"/>
      <c r="G8" s="27"/>
      <c r="H8" s="27"/>
      <c r="I8" s="27"/>
      <c r="K8" s="50" t="s">
        <v>154</v>
      </c>
      <c r="L8" s="51"/>
    </row>
    <row r="9" spans="1:12" ht="20.100000000000001" customHeight="1" thickBot="1" x14ac:dyDescent="0.3">
      <c r="A9" s="31">
        <v>41125</v>
      </c>
      <c r="B9" s="32" t="s">
        <v>141</v>
      </c>
      <c r="C9" s="32" t="s">
        <v>148</v>
      </c>
      <c r="D9" s="32">
        <v>46</v>
      </c>
      <c r="E9" s="33">
        <v>779</v>
      </c>
      <c r="F9" s="28"/>
      <c r="G9" s="27"/>
      <c r="H9" s="27"/>
      <c r="I9" s="27"/>
      <c r="K9" s="50" t="s">
        <v>155</v>
      </c>
      <c r="L9" s="52"/>
    </row>
    <row r="10" spans="1:12" ht="20.100000000000001" customHeight="1" x14ac:dyDescent="0.25">
      <c r="A10" s="31">
        <v>41651</v>
      </c>
      <c r="B10" s="32" t="s">
        <v>149</v>
      </c>
      <c r="C10" s="32" t="s">
        <v>147</v>
      </c>
      <c r="D10" s="32">
        <v>70</v>
      </c>
      <c r="E10" s="33">
        <v>199</v>
      </c>
      <c r="F10" s="28"/>
      <c r="G10" s="27"/>
      <c r="H10" s="27"/>
      <c r="I10" s="27"/>
    </row>
    <row r="11" spans="1:12" ht="20.100000000000001" customHeight="1" thickBot="1" x14ac:dyDescent="0.3">
      <c r="A11" s="31">
        <v>41159</v>
      </c>
      <c r="B11" s="32" t="s">
        <v>138</v>
      </c>
      <c r="C11" s="32" t="s">
        <v>142</v>
      </c>
      <c r="D11" s="32">
        <v>188</v>
      </c>
      <c r="E11" s="33">
        <v>212</v>
      </c>
      <c r="F11" s="28"/>
      <c r="G11" s="27"/>
      <c r="H11" s="27"/>
      <c r="I11" s="27"/>
    </row>
    <row r="12" spans="1:12" ht="20.100000000000001" customHeight="1" thickBot="1" x14ac:dyDescent="0.3">
      <c r="A12" s="31">
        <v>41734</v>
      </c>
      <c r="B12" s="32" t="s">
        <v>138</v>
      </c>
      <c r="C12" s="32" t="s">
        <v>142</v>
      </c>
      <c r="D12" s="32">
        <v>156</v>
      </c>
      <c r="E12" s="33">
        <v>715</v>
      </c>
      <c r="F12" s="28"/>
      <c r="G12" s="27"/>
      <c r="H12" s="27"/>
      <c r="I12" s="27"/>
      <c r="K12" s="53" t="s">
        <v>156</v>
      </c>
      <c r="L12" s="54" t="s">
        <v>157</v>
      </c>
    </row>
    <row r="13" spans="1:12" ht="20.100000000000001" customHeight="1" thickBot="1" x14ac:dyDescent="0.3">
      <c r="A13" s="31">
        <v>41863</v>
      </c>
      <c r="B13" s="32" t="s">
        <v>140</v>
      </c>
      <c r="C13" s="32" t="s">
        <v>139</v>
      </c>
      <c r="D13" s="32">
        <v>240</v>
      </c>
      <c r="E13" s="33">
        <v>855</v>
      </c>
      <c r="F13" s="28"/>
      <c r="G13" s="27"/>
      <c r="H13" s="27"/>
      <c r="I13" s="27"/>
      <c r="K13" s="19" t="s">
        <v>130</v>
      </c>
      <c r="L13" s="55"/>
    </row>
    <row r="14" spans="1:12" ht="20.100000000000001" customHeight="1" thickBot="1" x14ac:dyDescent="0.3">
      <c r="A14" s="31">
        <v>41197</v>
      </c>
      <c r="B14" s="32" t="s">
        <v>143</v>
      </c>
      <c r="C14" s="32" t="s">
        <v>139</v>
      </c>
      <c r="D14" s="32">
        <v>38</v>
      </c>
      <c r="E14" s="33">
        <v>373</v>
      </c>
      <c r="F14" s="28"/>
      <c r="G14" s="27"/>
      <c r="H14" s="27"/>
      <c r="I14" s="27"/>
      <c r="K14" s="19" t="s">
        <v>242</v>
      </c>
      <c r="L14" s="55"/>
    </row>
    <row r="15" spans="1:12" ht="20.100000000000001" customHeight="1" thickBot="1" x14ac:dyDescent="0.3">
      <c r="A15" s="31">
        <v>41562</v>
      </c>
      <c r="B15" s="32" t="s">
        <v>149</v>
      </c>
      <c r="C15" s="32" t="s">
        <v>147</v>
      </c>
      <c r="D15" s="32">
        <v>50</v>
      </c>
      <c r="E15" s="33">
        <v>578</v>
      </c>
      <c r="F15" s="28"/>
      <c r="G15" s="27"/>
      <c r="H15" s="27"/>
      <c r="I15" s="27"/>
      <c r="K15" s="19" t="s">
        <v>243</v>
      </c>
      <c r="L15" s="55"/>
    </row>
    <row r="16" spans="1:12" ht="20.100000000000001" customHeight="1" thickBot="1" x14ac:dyDescent="0.3">
      <c r="A16" s="31">
        <v>41675</v>
      </c>
      <c r="B16" s="32" t="s">
        <v>143</v>
      </c>
      <c r="C16" s="32" t="s">
        <v>139</v>
      </c>
      <c r="D16" s="32">
        <v>188</v>
      </c>
      <c r="E16" s="33">
        <v>672</v>
      </c>
      <c r="F16" s="28"/>
      <c r="G16" s="27"/>
      <c r="H16" s="27"/>
      <c r="I16" s="27"/>
      <c r="K16" s="19" t="s">
        <v>244</v>
      </c>
      <c r="L16" s="55"/>
    </row>
    <row r="17" spans="1:12" ht="20.100000000000001" customHeight="1" thickBot="1" x14ac:dyDescent="0.3">
      <c r="A17" s="31">
        <v>41275</v>
      </c>
      <c r="B17" s="32" t="s">
        <v>138</v>
      </c>
      <c r="C17" s="32" t="s">
        <v>139</v>
      </c>
      <c r="D17" s="32">
        <v>2</v>
      </c>
      <c r="E17" s="33">
        <v>324</v>
      </c>
      <c r="F17" s="28"/>
      <c r="G17" s="27"/>
      <c r="H17" s="27"/>
      <c r="I17" s="27"/>
      <c r="K17" s="19" t="s">
        <v>245</v>
      </c>
      <c r="L17" s="56"/>
    </row>
    <row r="18" spans="1:12" ht="20.100000000000001" customHeight="1" x14ac:dyDescent="0.25">
      <c r="A18" s="31">
        <v>41275</v>
      </c>
      <c r="B18" s="32" t="s">
        <v>141</v>
      </c>
      <c r="C18" s="32" t="s">
        <v>148</v>
      </c>
      <c r="D18" s="32">
        <v>108</v>
      </c>
      <c r="E18" s="33">
        <v>791</v>
      </c>
      <c r="F18" s="28"/>
      <c r="G18" s="27"/>
      <c r="H18" s="27"/>
      <c r="I18" s="27"/>
    </row>
    <row r="19" spans="1:12" ht="20.100000000000001" customHeight="1" x14ac:dyDescent="0.25">
      <c r="A19" s="31">
        <v>41282</v>
      </c>
      <c r="B19" s="32" t="s">
        <v>138</v>
      </c>
      <c r="C19" s="32" t="s">
        <v>139</v>
      </c>
      <c r="D19" s="32">
        <v>244</v>
      </c>
      <c r="E19" s="33">
        <v>856</v>
      </c>
      <c r="F19" s="28"/>
      <c r="G19" s="27"/>
      <c r="H19" s="27"/>
      <c r="I19" s="27"/>
    </row>
    <row r="20" spans="1:12" ht="20.100000000000001" customHeight="1" x14ac:dyDescent="0.25">
      <c r="A20" s="31">
        <v>41282</v>
      </c>
      <c r="B20" s="32" t="s">
        <v>140</v>
      </c>
      <c r="C20" s="32" t="s">
        <v>139</v>
      </c>
      <c r="D20" s="32">
        <v>64</v>
      </c>
      <c r="E20" s="33">
        <v>894</v>
      </c>
      <c r="F20" s="28"/>
      <c r="G20" s="27"/>
      <c r="H20" s="27"/>
      <c r="I20" s="27"/>
    </row>
    <row r="22" spans="1:12" ht="20.100000000000001" customHeight="1" x14ac:dyDescent="0.25">
      <c r="K22" s="1"/>
    </row>
    <row r="23" spans="1:12" ht="20.100000000000001" customHeight="1" x14ac:dyDescent="0.25">
      <c r="K23" s="1"/>
    </row>
  </sheetData>
  <autoFilter ref="A1:F20" xr:uid="{00000000-0009-0000-0000-000001000000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46A5-40A4-415C-880E-015470A894AA}">
  <dimension ref="A1:I16"/>
  <sheetViews>
    <sheetView showGridLines="0" zoomScale="90" zoomScaleNormal="90" workbookViewId="0">
      <selection activeCell="D10" sqref="D10"/>
    </sheetView>
  </sheetViews>
  <sheetFormatPr defaultRowHeight="21" x14ac:dyDescent="0.35"/>
  <cols>
    <col min="1" max="1" width="18.7109375" customWidth="1"/>
    <col min="2" max="2" width="20.5703125" style="59" bestFit="1" customWidth="1"/>
    <col min="3" max="3" width="21.140625" style="70" bestFit="1" customWidth="1"/>
    <col min="4" max="4" width="24.7109375" style="59" customWidth="1"/>
    <col min="5" max="5" width="29.42578125" customWidth="1"/>
    <col min="6" max="6" width="20.5703125" bestFit="1" customWidth="1"/>
    <col min="7" max="7" width="18.5703125" bestFit="1" customWidth="1"/>
    <col min="8" max="8" width="16.28515625" bestFit="1" customWidth="1"/>
    <col min="9" max="9" width="19" customWidth="1"/>
  </cols>
  <sheetData>
    <row r="1" spans="1:9" x14ac:dyDescent="0.35">
      <c r="H1" s="14"/>
    </row>
    <row r="2" spans="1:9" x14ac:dyDescent="0.35">
      <c r="C2" s="1"/>
    </row>
    <row r="3" spans="1:9" x14ac:dyDescent="0.35">
      <c r="A3" s="143" t="s">
        <v>161</v>
      </c>
      <c r="B3" s="60" t="s">
        <v>158</v>
      </c>
      <c r="C3" s="61" t="s">
        <v>162</v>
      </c>
      <c r="D3" s="60" t="s">
        <v>160</v>
      </c>
      <c r="F3" s="60" t="s">
        <v>158</v>
      </c>
      <c r="G3" s="60" t="s">
        <v>159</v>
      </c>
      <c r="H3" s="60" t="s">
        <v>160</v>
      </c>
      <c r="I3" s="143" t="s">
        <v>163</v>
      </c>
    </row>
    <row r="4" spans="1:9" x14ac:dyDescent="0.35">
      <c r="A4" s="143"/>
      <c r="B4" s="62">
        <v>17000</v>
      </c>
      <c r="C4" s="141">
        <v>0.16900000000000001</v>
      </c>
      <c r="D4" s="62"/>
      <c r="E4" s="142"/>
      <c r="F4" s="62">
        <v>15600</v>
      </c>
      <c r="G4" s="62">
        <v>1300</v>
      </c>
      <c r="H4" s="74"/>
      <c r="I4" s="143"/>
    </row>
    <row r="6" spans="1:9" ht="24" x14ac:dyDescent="0.4">
      <c r="A6" s="143" t="s">
        <v>169</v>
      </c>
      <c r="B6" s="60" t="s">
        <v>158</v>
      </c>
      <c r="C6" s="61" t="s">
        <v>164</v>
      </c>
      <c r="D6" s="60" t="s">
        <v>160</v>
      </c>
      <c r="F6" s="64"/>
      <c r="H6" s="72"/>
    </row>
    <row r="7" spans="1:9" ht="34.5" x14ac:dyDescent="0.55000000000000004">
      <c r="A7" s="143"/>
      <c r="B7" s="62">
        <v>600</v>
      </c>
      <c r="C7" s="63">
        <v>7.0000000000000007E-2</v>
      </c>
      <c r="D7" s="62"/>
      <c r="E7" s="140"/>
      <c r="G7" s="73"/>
    </row>
    <row r="8" spans="1:9" ht="24" x14ac:dyDescent="0.4">
      <c r="G8" s="72"/>
    </row>
    <row r="9" spans="1:9" x14ac:dyDescent="0.35">
      <c r="A9" s="143" t="s">
        <v>170</v>
      </c>
      <c r="B9" s="60" t="s">
        <v>158</v>
      </c>
      <c r="C9" s="61" t="s">
        <v>165</v>
      </c>
      <c r="D9" s="60" t="s">
        <v>160</v>
      </c>
    </row>
    <row r="10" spans="1:9" x14ac:dyDescent="0.35">
      <c r="A10" s="143"/>
      <c r="B10" s="62">
        <v>2500</v>
      </c>
      <c r="C10" s="63">
        <v>0.15</v>
      </c>
      <c r="D10" s="62"/>
    </row>
    <row r="12" spans="1:9" x14ac:dyDescent="0.35">
      <c r="B12" s="59" t="s">
        <v>171</v>
      </c>
    </row>
    <row r="13" spans="1:9" x14ac:dyDescent="0.35">
      <c r="A13" s="143" t="s">
        <v>166</v>
      </c>
      <c r="B13" s="60" t="s">
        <v>167</v>
      </c>
      <c r="C13" s="61" t="s">
        <v>168</v>
      </c>
      <c r="D13" s="60" t="s">
        <v>160</v>
      </c>
    </row>
    <row r="14" spans="1:9" x14ac:dyDescent="0.35">
      <c r="A14" s="143"/>
      <c r="B14" s="62">
        <v>12000</v>
      </c>
      <c r="C14" s="65">
        <v>10000</v>
      </c>
      <c r="D14" s="66"/>
      <c r="E14" s="71"/>
    </row>
    <row r="15" spans="1:9" x14ac:dyDescent="0.35">
      <c r="C15" s="67"/>
      <c r="D15" s="68"/>
    </row>
    <row r="16" spans="1:9" x14ac:dyDescent="0.35">
      <c r="C16" s="69"/>
      <c r="D16" s="68"/>
    </row>
  </sheetData>
  <mergeCells count="5">
    <mergeCell ref="A3:A4"/>
    <mergeCell ref="I3:I4"/>
    <mergeCell ref="A6:A7"/>
    <mergeCell ref="A9:A10"/>
    <mergeCell ref="A13:A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22A5-D42C-4AF2-833F-431CD2124213}">
  <dimension ref="A2:O51"/>
  <sheetViews>
    <sheetView showGridLines="0" zoomScaleNormal="100" workbookViewId="0">
      <selection activeCell="K6" sqref="K6"/>
    </sheetView>
  </sheetViews>
  <sheetFormatPr defaultRowHeight="15" x14ac:dyDescent="0.25"/>
  <cols>
    <col min="1" max="1" width="10.42578125" bestFit="1" customWidth="1"/>
    <col min="2" max="2" width="14.42578125" bestFit="1" customWidth="1"/>
    <col min="3" max="3" width="11.140625" bestFit="1" customWidth="1"/>
    <col min="4" max="4" width="13.28515625" bestFit="1" customWidth="1"/>
    <col min="5" max="5" width="11.140625" bestFit="1" customWidth="1"/>
    <col min="6" max="6" width="12.140625" bestFit="1" customWidth="1"/>
    <col min="7" max="7" width="11.140625" bestFit="1" customWidth="1"/>
    <col min="9" max="9" width="28.140625" style="75" bestFit="1" customWidth="1"/>
  </cols>
  <sheetData>
    <row r="2" spans="1:15" ht="46.5" customHeight="1" x14ac:dyDescent="0.25">
      <c r="G2" s="146"/>
      <c r="H2" s="146"/>
      <c r="I2" s="146"/>
      <c r="J2" s="146"/>
      <c r="K2" s="146"/>
      <c r="L2" s="146"/>
    </row>
    <row r="3" spans="1:15" x14ac:dyDescent="0.25">
      <c r="G3" s="146"/>
      <c r="H3" s="146"/>
      <c r="I3" s="146"/>
      <c r="J3" s="146"/>
      <c r="K3" s="146"/>
      <c r="L3" s="146"/>
    </row>
    <row r="4" spans="1:15" ht="17.25" customHeight="1" thickBot="1" x14ac:dyDescent="0.3">
      <c r="I4" s="76"/>
    </row>
    <row r="5" spans="1:15" ht="15" customHeight="1" x14ac:dyDescent="0.25">
      <c r="A5" s="77" t="s">
        <v>158</v>
      </c>
      <c r="B5" s="78">
        <v>42736</v>
      </c>
      <c r="C5" s="78">
        <v>42767</v>
      </c>
      <c r="D5" s="78">
        <v>42795</v>
      </c>
      <c r="E5" s="78">
        <v>42826</v>
      </c>
      <c r="F5" s="78">
        <v>42856</v>
      </c>
      <c r="G5" s="79">
        <v>42887</v>
      </c>
      <c r="I5" s="80" t="s">
        <v>172</v>
      </c>
    </row>
    <row r="6" spans="1:15" x14ac:dyDescent="0.25">
      <c r="A6" s="81" t="s">
        <v>173</v>
      </c>
      <c r="B6" s="82">
        <v>281</v>
      </c>
      <c r="C6" s="82">
        <v>247</v>
      </c>
      <c r="D6" s="82">
        <v>515</v>
      </c>
      <c r="E6" s="82">
        <v>700</v>
      </c>
      <c r="F6" s="82">
        <v>358</v>
      </c>
      <c r="G6" s="83">
        <v>71</v>
      </c>
    </row>
    <row r="7" spans="1:15" x14ac:dyDescent="0.25">
      <c r="A7" s="84" t="s">
        <v>174</v>
      </c>
      <c r="B7" s="85">
        <v>457</v>
      </c>
      <c r="C7" s="85">
        <v>254</v>
      </c>
      <c r="D7" s="85">
        <v>809</v>
      </c>
      <c r="E7" s="85">
        <v>16</v>
      </c>
      <c r="F7" s="85">
        <v>930</v>
      </c>
      <c r="G7" s="86">
        <v>10</v>
      </c>
    </row>
    <row r="8" spans="1:15" x14ac:dyDescent="0.25">
      <c r="A8" s="81" t="s">
        <v>175</v>
      </c>
      <c r="B8" s="82">
        <v>301</v>
      </c>
      <c r="C8" s="82">
        <v>576</v>
      </c>
      <c r="D8" s="82">
        <v>746</v>
      </c>
      <c r="E8" s="82">
        <v>58</v>
      </c>
      <c r="F8" s="82">
        <v>419</v>
      </c>
      <c r="G8" s="83">
        <v>68</v>
      </c>
    </row>
    <row r="9" spans="1:15" x14ac:dyDescent="0.25">
      <c r="A9" s="84" t="s">
        <v>176</v>
      </c>
      <c r="B9" s="85">
        <v>88</v>
      </c>
      <c r="C9" s="85">
        <v>751</v>
      </c>
      <c r="D9" s="85">
        <v>738</v>
      </c>
      <c r="E9" s="85">
        <v>604</v>
      </c>
      <c r="F9" s="85">
        <v>282</v>
      </c>
      <c r="G9" s="86">
        <v>256</v>
      </c>
    </row>
    <row r="10" spans="1:15" ht="15.75" thickBot="1" x14ac:dyDescent="0.3">
      <c r="A10" s="87" t="s">
        <v>177</v>
      </c>
      <c r="B10" s="88">
        <v>505</v>
      </c>
      <c r="C10" s="88">
        <v>848</v>
      </c>
      <c r="D10" s="88">
        <v>307</v>
      </c>
      <c r="E10" s="88">
        <v>559</v>
      </c>
      <c r="F10" s="88">
        <v>537</v>
      </c>
      <c r="G10" s="89">
        <v>687</v>
      </c>
    </row>
    <row r="11" spans="1:15" ht="15.75" thickBot="1" x14ac:dyDescent="0.3">
      <c r="A11" s="81"/>
      <c r="B11" s="82"/>
      <c r="C11" s="82"/>
      <c r="D11" s="82"/>
      <c r="E11" s="82"/>
      <c r="F11" s="82"/>
      <c r="G11" s="83"/>
      <c r="I11" s="90"/>
      <c r="J11" s="91"/>
    </row>
    <row r="12" spans="1:15" ht="19.5" thickBot="1" x14ac:dyDescent="0.3">
      <c r="A12" s="77" t="s">
        <v>158</v>
      </c>
      <c r="B12" s="78">
        <v>42736</v>
      </c>
      <c r="C12" s="78">
        <v>42767</v>
      </c>
      <c r="D12" s="78">
        <v>42795</v>
      </c>
      <c r="E12" s="78">
        <v>42826</v>
      </c>
      <c r="F12" s="78">
        <v>42856</v>
      </c>
      <c r="G12" s="79">
        <v>42887</v>
      </c>
      <c r="I12" s="92" t="s">
        <v>178</v>
      </c>
      <c r="J12" s="93">
        <v>0.05</v>
      </c>
    </row>
    <row r="13" spans="1:15" x14ac:dyDescent="0.25">
      <c r="A13" s="81" t="s">
        <v>173</v>
      </c>
      <c r="B13" s="82"/>
      <c r="C13" s="82"/>
      <c r="D13" s="82"/>
      <c r="E13" s="82"/>
      <c r="F13" s="82"/>
      <c r="G13" s="82"/>
    </row>
    <row r="14" spans="1:15" ht="24.95" customHeight="1" x14ac:dyDescent="0.25">
      <c r="A14" s="84" t="s">
        <v>174</v>
      </c>
      <c r="B14" s="82"/>
      <c r="C14" s="82"/>
      <c r="D14" s="82"/>
      <c r="E14" s="82"/>
      <c r="F14" s="82"/>
      <c r="G14" s="82"/>
      <c r="K14" s="90"/>
      <c r="L14" s="90"/>
      <c r="M14" s="90"/>
      <c r="N14" s="90"/>
      <c r="O14" s="90"/>
    </row>
    <row r="15" spans="1:15" s="95" customFormat="1" ht="20.100000000000001" customHeight="1" x14ac:dyDescent="0.25">
      <c r="A15" s="81" t="s">
        <v>175</v>
      </c>
      <c r="B15" s="82"/>
      <c r="C15" s="82"/>
      <c r="D15" s="82"/>
      <c r="E15" s="82"/>
      <c r="F15" s="82"/>
      <c r="G15" s="82"/>
      <c r="H15"/>
      <c r="I15" s="75"/>
      <c r="J15"/>
      <c r="K15" s="94"/>
      <c r="L15" s="94"/>
      <c r="M15" s="94"/>
      <c r="N15" s="94"/>
      <c r="O15" s="94"/>
    </row>
    <row r="16" spans="1:15" s="95" customFormat="1" ht="20.100000000000001" customHeight="1" x14ac:dyDescent="0.25">
      <c r="A16" s="84" t="s">
        <v>176</v>
      </c>
      <c r="B16" s="82"/>
      <c r="C16" s="82"/>
      <c r="D16" s="82"/>
      <c r="E16" s="82"/>
      <c r="F16" s="82"/>
      <c r="G16" s="82"/>
      <c r="H16"/>
      <c r="I16" s="75"/>
      <c r="J16"/>
      <c r="K16" s="94"/>
      <c r="L16" s="94"/>
      <c r="M16" s="94"/>
      <c r="N16" s="94"/>
      <c r="O16" s="94"/>
    </row>
    <row r="17" spans="1:15" s="95" customFormat="1" ht="20.100000000000001" customHeight="1" thickBot="1" x14ac:dyDescent="0.3">
      <c r="A17" s="87" t="s">
        <v>177</v>
      </c>
      <c r="B17" s="82"/>
      <c r="C17" s="82"/>
      <c r="D17" s="82"/>
      <c r="E17" s="82"/>
      <c r="F17" s="82"/>
      <c r="G17" s="82"/>
      <c r="H17"/>
      <c r="I17" s="75"/>
      <c r="J17"/>
      <c r="K17" s="94"/>
      <c r="L17" s="94"/>
      <c r="M17" s="94"/>
      <c r="N17" s="94"/>
      <c r="O17" s="94"/>
    </row>
    <row r="18" spans="1:15" s="95" customFormat="1" ht="20.100000000000001" customHeight="1" x14ac:dyDescent="0.25">
      <c r="A18"/>
      <c r="B18"/>
      <c r="C18"/>
      <c r="D18"/>
      <c r="E18"/>
      <c r="F18"/>
      <c r="G18"/>
      <c r="H18"/>
      <c r="I18" s="75"/>
      <c r="J18"/>
      <c r="K18" s="94"/>
      <c r="L18" s="94"/>
      <c r="M18" s="94"/>
      <c r="N18" s="94"/>
      <c r="O18" s="94"/>
    </row>
    <row r="19" spans="1:15" s="95" customFormat="1" ht="20.100000000000001" customHeight="1" thickBot="1" x14ac:dyDescent="0.3">
      <c r="A19"/>
      <c r="B19"/>
      <c r="C19"/>
      <c r="D19"/>
      <c r="E19"/>
      <c r="F19"/>
      <c r="G19"/>
      <c r="H19"/>
      <c r="I19" s="75"/>
      <c r="J19"/>
      <c r="K19" s="94"/>
      <c r="L19" s="94"/>
      <c r="M19" s="94"/>
      <c r="N19" s="94"/>
      <c r="O19" s="94"/>
    </row>
    <row r="20" spans="1:15" x14ac:dyDescent="0.25">
      <c r="A20" s="77" t="s">
        <v>179</v>
      </c>
      <c r="B20" s="78">
        <v>42736</v>
      </c>
      <c r="C20" s="78">
        <v>42767</v>
      </c>
      <c r="D20" s="78">
        <v>42795</v>
      </c>
      <c r="E20" s="78">
        <v>42826</v>
      </c>
      <c r="F20" s="78">
        <v>42856</v>
      </c>
      <c r="G20" s="79">
        <v>42887</v>
      </c>
      <c r="H20" s="90"/>
      <c r="I20" s="90"/>
      <c r="J20" s="90"/>
    </row>
    <row r="21" spans="1:15" ht="24.95" customHeight="1" x14ac:dyDescent="0.25">
      <c r="A21" s="81" t="s">
        <v>173</v>
      </c>
      <c r="B21" s="82">
        <v>281</v>
      </c>
      <c r="C21" s="82">
        <v>247</v>
      </c>
      <c r="D21" s="82">
        <v>515</v>
      </c>
      <c r="E21" s="82">
        <v>700</v>
      </c>
      <c r="F21" s="82">
        <v>358</v>
      </c>
      <c r="G21" s="83">
        <v>71</v>
      </c>
      <c r="H21" s="94"/>
      <c r="I21" s="94"/>
      <c r="J21" s="94"/>
    </row>
    <row r="22" spans="1:15" s="95" customFormat="1" ht="20.100000000000001" customHeight="1" x14ac:dyDescent="0.25">
      <c r="A22" s="84" t="s">
        <v>174</v>
      </c>
      <c r="B22" s="85">
        <v>457</v>
      </c>
      <c r="C22" s="85">
        <v>254</v>
      </c>
      <c r="D22" s="85">
        <v>809</v>
      </c>
      <c r="E22" s="85">
        <v>16</v>
      </c>
      <c r="F22" s="85">
        <v>930</v>
      </c>
      <c r="G22" s="86">
        <v>10</v>
      </c>
      <c r="H22" s="94"/>
      <c r="J22" s="94"/>
    </row>
    <row r="23" spans="1:15" s="95" customFormat="1" ht="20.100000000000001" customHeight="1" x14ac:dyDescent="0.25">
      <c r="A23" s="81" t="s">
        <v>175</v>
      </c>
      <c r="B23" s="82">
        <v>301</v>
      </c>
      <c r="C23" s="82">
        <v>576</v>
      </c>
      <c r="D23" s="82">
        <v>746</v>
      </c>
      <c r="E23" s="82">
        <v>58</v>
      </c>
      <c r="F23" s="82">
        <v>419</v>
      </c>
      <c r="G23" s="83">
        <v>68</v>
      </c>
      <c r="H23" s="94"/>
      <c r="J23" s="94"/>
    </row>
    <row r="24" spans="1:15" s="95" customFormat="1" ht="20.100000000000001" customHeight="1" x14ac:dyDescent="0.25">
      <c r="A24" s="84" t="s">
        <v>176</v>
      </c>
      <c r="B24" s="85">
        <v>88</v>
      </c>
      <c r="C24" s="85">
        <v>751</v>
      </c>
      <c r="D24" s="85">
        <v>738</v>
      </c>
      <c r="E24" s="85">
        <v>604</v>
      </c>
      <c r="F24" s="85">
        <v>282</v>
      </c>
      <c r="G24" s="86">
        <v>256</v>
      </c>
      <c r="H24" s="94"/>
      <c r="I24" s="94"/>
      <c r="J24" s="94"/>
    </row>
    <row r="25" spans="1:15" s="95" customFormat="1" ht="20.100000000000001" customHeight="1" thickBot="1" x14ac:dyDescent="0.3">
      <c r="A25" s="87" t="s">
        <v>177</v>
      </c>
      <c r="B25" s="88">
        <v>505</v>
      </c>
      <c r="C25" s="88">
        <v>848</v>
      </c>
      <c r="D25" s="88">
        <v>307</v>
      </c>
      <c r="E25" s="88">
        <v>559</v>
      </c>
      <c r="F25" s="88">
        <v>537</v>
      </c>
      <c r="G25" s="89">
        <v>687</v>
      </c>
      <c r="H25" s="94"/>
      <c r="I25" s="94"/>
      <c r="J25" s="94"/>
    </row>
    <row r="26" spans="1:15" s="95" customFormat="1" ht="20.100000000000001" customHeight="1" thickBot="1" x14ac:dyDescent="0.3">
      <c r="A26" s="96"/>
      <c r="B26"/>
      <c r="C26"/>
      <c r="D26"/>
      <c r="E26"/>
      <c r="F26"/>
      <c r="G26" s="97"/>
      <c r="H26"/>
      <c r="I26" s="75"/>
      <c r="J26"/>
    </row>
    <row r="27" spans="1:15" s="95" customFormat="1" ht="20.100000000000001" customHeight="1" x14ac:dyDescent="0.25">
      <c r="A27" s="77" t="s">
        <v>164</v>
      </c>
      <c r="B27" s="78">
        <v>42736</v>
      </c>
      <c r="C27" s="78">
        <v>42767</v>
      </c>
      <c r="D27" s="78">
        <v>42795</v>
      </c>
      <c r="E27" s="78">
        <v>42826</v>
      </c>
      <c r="F27" s="78">
        <v>42856</v>
      </c>
      <c r="G27" s="79">
        <v>42887</v>
      </c>
      <c r="H27"/>
      <c r="I27" s="75"/>
      <c r="J27"/>
    </row>
    <row r="28" spans="1:15" x14ac:dyDescent="0.25">
      <c r="A28" s="98" t="s">
        <v>180</v>
      </c>
      <c r="B28" s="99">
        <v>0.2</v>
      </c>
      <c r="C28" s="99">
        <v>0.1</v>
      </c>
      <c r="D28" s="99">
        <v>0.15</v>
      </c>
      <c r="E28" s="99">
        <v>0.2</v>
      </c>
      <c r="F28" s="99">
        <v>0.1</v>
      </c>
      <c r="G28" s="100">
        <v>0.05</v>
      </c>
      <c r="H28" s="95"/>
      <c r="I28" s="101" t="s">
        <v>181</v>
      </c>
      <c r="J28" s="95"/>
    </row>
    <row r="29" spans="1:15" x14ac:dyDescent="0.25">
      <c r="A29" s="81" t="s">
        <v>173</v>
      </c>
      <c r="B29" s="82"/>
      <c r="C29" s="82"/>
      <c r="D29" s="82"/>
      <c r="E29" s="82"/>
      <c r="F29" s="82"/>
      <c r="G29" s="82"/>
      <c r="H29" s="95"/>
      <c r="I29" s="101"/>
      <c r="J29" s="95"/>
    </row>
    <row r="30" spans="1:15" x14ac:dyDescent="0.25">
      <c r="A30" s="84" t="s">
        <v>174</v>
      </c>
      <c r="B30" s="82"/>
      <c r="C30" s="82"/>
      <c r="D30" s="82"/>
      <c r="E30" s="82"/>
      <c r="F30" s="82"/>
      <c r="G30" s="82"/>
      <c r="H30" s="95"/>
      <c r="I30" s="101"/>
      <c r="J30" s="95"/>
    </row>
    <row r="31" spans="1:15" x14ac:dyDescent="0.25">
      <c r="A31" s="81" t="s">
        <v>175</v>
      </c>
      <c r="B31" s="82"/>
      <c r="C31" s="82"/>
      <c r="D31" s="82"/>
      <c r="E31" s="82"/>
      <c r="F31" s="82"/>
      <c r="G31" s="82"/>
      <c r="H31" s="95"/>
      <c r="I31" s="101"/>
      <c r="J31" s="95"/>
    </row>
    <row r="32" spans="1:15" x14ac:dyDescent="0.25">
      <c r="A32" s="84" t="s">
        <v>176</v>
      </c>
      <c r="B32" s="82"/>
      <c r="C32" s="82"/>
      <c r="D32" s="82"/>
      <c r="E32" s="82"/>
      <c r="F32" s="82"/>
      <c r="G32" s="82"/>
      <c r="H32" s="95"/>
      <c r="I32" s="101"/>
      <c r="J32" s="95"/>
    </row>
    <row r="33" spans="1:10" x14ac:dyDescent="0.25">
      <c r="A33" s="81" t="s">
        <v>177</v>
      </c>
      <c r="B33" s="82"/>
      <c r="C33" s="82"/>
      <c r="D33" s="82"/>
      <c r="E33" s="82"/>
      <c r="F33" s="82"/>
      <c r="G33" s="82"/>
      <c r="H33" s="95"/>
      <c r="I33" s="101"/>
      <c r="J33" s="95"/>
    </row>
    <row r="34" spans="1:10" ht="15.75" thickBot="1" x14ac:dyDescent="0.3">
      <c r="A34" s="102"/>
      <c r="B34" s="82"/>
      <c r="C34" s="82"/>
      <c r="D34" s="82"/>
      <c r="E34" s="82"/>
      <c r="F34" s="82"/>
      <c r="G34" s="82"/>
    </row>
    <row r="36" spans="1:10" ht="15.75" thickBot="1" x14ac:dyDescent="0.3"/>
    <row r="37" spans="1:10" x14ac:dyDescent="0.25">
      <c r="A37" s="103"/>
      <c r="B37" s="104"/>
      <c r="C37" s="105" t="s">
        <v>173</v>
      </c>
      <c r="D37" s="105" t="s">
        <v>174</v>
      </c>
      <c r="E37" s="105" t="s">
        <v>175</v>
      </c>
      <c r="F37" s="105" t="s">
        <v>176</v>
      </c>
      <c r="G37" s="106" t="s">
        <v>177</v>
      </c>
    </row>
    <row r="38" spans="1:10" x14ac:dyDescent="0.25">
      <c r="A38" s="107">
        <v>42736</v>
      </c>
      <c r="B38" s="82"/>
      <c r="C38" s="82">
        <v>247</v>
      </c>
      <c r="D38" s="82">
        <v>515</v>
      </c>
      <c r="E38" s="82">
        <v>700</v>
      </c>
      <c r="F38" s="82">
        <v>358</v>
      </c>
      <c r="G38" s="83">
        <v>71</v>
      </c>
    </row>
    <row r="39" spans="1:10" x14ac:dyDescent="0.25">
      <c r="A39" s="108">
        <v>42767</v>
      </c>
      <c r="B39" s="85"/>
      <c r="C39" s="85">
        <v>254</v>
      </c>
      <c r="D39" s="85">
        <v>809</v>
      </c>
      <c r="E39" s="85">
        <v>16</v>
      </c>
      <c r="F39" s="85">
        <v>930</v>
      </c>
      <c r="G39" s="86">
        <v>10</v>
      </c>
    </row>
    <row r="40" spans="1:10" x14ac:dyDescent="0.25">
      <c r="A40" s="107">
        <v>42795</v>
      </c>
      <c r="B40" s="82"/>
      <c r="C40" s="82">
        <v>576</v>
      </c>
      <c r="D40" s="82">
        <v>746</v>
      </c>
      <c r="E40" s="82">
        <v>58</v>
      </c>
      <c r="F40" s="82">
        <v>419</v>
      </c>
      <c r="G40" s="83">
        <v>68</v>
      </c>
    </row>
    <row r="41" spans="1:10" x14ac:dyDescent="0.25">
      <c r="A41" s="108">
        <v>42826</v>
      </c>
      <c r="B41" s="85"/>
      <c r="C41" s="85">
        <v>751</v>
      </c>
      <c r="D41" s="85">
        <v>738</v>
      </c>
      <c r="E41" s="85">
        <v>604</v>
      </c>
      <c r="F41" s="85">
        <v>282</v>
      </c>
      <c r="G41" s="86">
        <v>256</v>
      </c>
    </row>
    <row r="42" spans="1:10" x14ac:dyDescent="0.25">
      <c r="A42" s="107">
        <v>42856</v>
      </c>
      <c r="B42" s="82"/>
      <c r="C42" s="82">
        <v>848</v>
      </c>
      <c r="D42" s="82">
        <v>307</v>
      </c>
      <c r="E42" s="82">
        <v>559</v>
      </c>
      <c r="F42" s="82">
        <v>537</v>
      </c>
      <c r="G42" s="83">
        <v>687</v>
      </c>
    </row>
    <row r="43" spans="1:10" ht="15.75" thickBot="1" x14ac:dyDescent="0.3">
      <c r="A43" s="109">
        <v>42887</v>
      </c>
      <c r="B43" s="88"/>
      <c r="C43" s="88">
        <v>576</v>
      </c>
      <c r="D43" s="88">
        <v>746</v>
      </c>
      <c r="E43" s="88">
        <v>58</v>
      </c>
      <c r="F43" s="88">
        <v>419</v>
      </c>
      <c r="G43" s="89">
        <v>68</v>
      </c>
    </row>
    <row r="44" spans="1:10" ht="15.75" thickBot="1" x14ac:dyDescent="0.3">
      <c r="A44" s="96"/>
      <c r="G44" s="97"/>
    </row>
    <row r="45" spans="1:10" x14ac:dyDescent="0.25">
      <c r="A45" s="103"/>
      <c r="B45" s="104" t="s">
        <v>182</v>
      </c>
      <c r="C45" s="105" t="s">
        <v>173</v>
      </c>
      <c r="D45" s="105" t="s">
        <v>174</v>
      </c>
      <c r="E45" s="105" t="s">
        <v>175</v>
      </c>
      <c r="F45" s="105" t="s">
        <v>176</v>
      </c>
      <c r="G45" s="106" t="s">
        <v>177</v>
      </c>
      <c r="I45" s="90" t="s">
        <v>183</v>
      </c>
    </row>
    <row r="46" spans="1:10" x14ac:dyDescent="0.25">
      <c r="A46" s="107">
        <v>42736</v>
      </c>
      <c r="B46" s="99">
        <v>0.2</v>
      </c>
      <c r="C46" s="82"/>
      <c r="D46" s="82"/>
      <c r="E46" s="82"/>
      <c r="F46" s="82"/>
      <c r="G46" s="82"/>
    </row>
    <row r="47" spans="1:10" x14ac:dyDescent="0.25">
      <c r="A47" s="108">
        <v>42767</v>
      </c>
      <c r="B47" s="99">
        <v>0.1</v>
      </c>
      <c r="C47" s="82"/>
      <c r="D47" s="82"/>
      <c r="E47" s="82"/>
      <c r="F47" s="82"/>
      <c r="G47" s="82"/>
    </row>
    <row r="48" spans="1:10" x14ac:dyDescent="0.25">
      <c r="A48" s="107">
        <v>42795</v>
      </c>
      <c r="B48" s="99">
        <v>0.15</v>
      </c>
      <c r="C48" s="82"/>
      <c r="D48" s="82"/>
      <c r="E48" s="82"/>
      <c r="F48" s="82"/>
      <c r="G48" s="82"/>
    </row>
    <row r="49" spans="1:7" x14ac:dyDescent="0.25">
      <c r="A49" s="108">
        <v>42826</v>
      </c>
      <c r="B49" s="99">
        <v>0.2</v>
      </c>
      <c r="C49" s="82"/>
      <c r="D49" s="82"/>
      <c r="E49" s="82"/>
      <c r="F49" s="82"/>
      <c r="G49" s="82"/>
    </row>
    <row r="50" spans="1:7" x14ac:dyDescent="0.25">
      <c r="A50" s="107">
        <v>42856</v>
      </c>
      <c r="B50" s="99">
        <v>0.1</v>
      </c>
      <c r="C50" s="82"/>
      <c r="D50" s="82"/>
      <c r="E50" s="82"/>
      <c r="F50" s="82"/>
      <c r="G50" s="82"/>
    </row>
    <row r="51" spans="1:7" ht="15.75" thickBot="1" x14ac:dyDescent="0.3">
      <c r="A51" s="109">
        <v>42887</v>
      </c>
      <c r="B51" s="110">
        <v>0.05</v>
      </c>
      <c r="C51" s="82"/>
      <c r="D51" s="82"/>
      <c r="E51" s="82"/>
      <c r="F51" s="82"/>
      <c r="G51" s="82"/>
    </row>
  </sheetData>
  <mergeCells count="1">
    <mergeCell ref="G2:L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D434-807D-4C15-9133-FFE9BC07FB94}">
  <dimension ref="A1:I15"/>
  <sheetViews>
    <sheetView showGridLines="0" topLeftCell="A2" zoomScale="110" zoomScaleNormal="110" workbookViewId="0">
      <selection activeCell="B3" sqref="B3"/>
    </sheetView>
  </sheetViews>
  <sheetFormatPr defaultRowHeight="20.100000000000001" customHeight="1" x14ac:dyDescent="0.25"/>
  <cols>
    <col min="1" max="6" width="17.7109375" style="23" customWidth="1"/>
    <col min="7" max="7" width="17.7109375" style="114" customWidth="1"/>
    <col min="8" max="8" width="18.140625" style="23" customWidth="1"/>
    <col min="9" max="9" width="16.140625" style="23" customWidth="1"/>
    <col min="10" max="16384" width="9.140625" style="23"/>
  </cols>
  <sheetData>
    <row r="1" spans="1:9" ht="100.5" customHeight="1" x14ac:dyDescent="0.25">
      <c r="A1" s="144"/>
      <c r="B1" s="144"/>
      <c r="C1" s="144"/>
      <c r="D1" s="144"/>
      <c r="E1" s="144"/>
      <c r="F1" s="144"/>
      <c r="G1" s="144"/>
    </row>
    <row r="2" spans="1:9" ht="20.100000000000001" customHeight="1" x14ac:dyDescent="0.25">
      <c r="A2" s="45" t="s">
        <v>184</v>
      </c>
      <c r="B2" s="45" t="s">
        <v>185</v>
      </c>
      <c r="C2" s="45" t="s">
        <v>186</v>
      </c>
      <c r="D2" s="45" t="s">
        <v>187</v>
      </c>
      <c r="E2" s="45" t="s">
        <v>188</v>
      </c>
      <c r="F2" s="45" t="s">
        <v>189</v>
      </c>
      <c r="G2" s="111" t="s">
        <v>190</v>
      </c>
      <c r="H2" s="11" t="s">
        <v>191</v>
      </c>
      <c r="I2" s="11" t="s">
        <v>192</v>
      </c>
    </row>
    <row r="3" spans="1:9" ht="20.100000000000001" customHeight="1" x14ac:dyDescent="0.25">
      <c r="A3" s="31">
        <v>36845</v>
      </c>
      <c r="B3" s="112"/>
      <c r="C3" s="112"/>
      <c r="D3" s="112"/>
      <c r="E3" s="113"/>
      <c r="F3" s="113"/>
      <c r="H3" s="115"/>
      <c r="I3" s="114"/>
    </row>
    <row r="4" spans="1:9" ht="20.100000000000001" customHeight="1" x14ac:dyDescent="0.25">
      <c r="A4" s="31">
        <v>27902</v>
      </c>
      <c r="B4" s="112"/>
      <c r="C4" s="112"/>
      <c r="D4" s="112"/>
      <c r="E4" s="113"/>
      <c r="F4" s="113"/>
      <c r="H4" s="115"/>
      <c r="I4" s="114"/>
    </row>
    <row r="5" spans="1:9" ht="20.100000000000001" customHeight="1" x14ac:dyDescent="0.25">
      <c r="A5" s="31">
        <v>41856</v>
      </c>
      <c r="B5" s="112"/>
      <c r="C5" s="112"/>
      <c r="D5" s="112"/>
      <c r="E5" s="113"/>
      <c r="F5" s="113"/>
      <c r="H5" s="115"/>
      <c r="I5" s="114"/>
    </row>
    <row r="6" spans="1:9" ht="20.100000000000001" customHeight="1" x14ac:dyDescent="0.25">
      <c r="A6" s="31">
        <v>38057</v>
      </c>
      <c r="B6" s="112"/>
      <c r="C6" s="112"/>
      <c r="D6" s="112"/>
      <c r="E6" s="113"/>
      <c r="F6" s="113"/>
      <c r="H6" s="115"/>
      <c r="I6" s="114"/>
    </row>
    <row r="7" spans="1:9" ht="20.100000000000001" customHeight="1" x14ac:dyDescent="0.25">
      <c r="A7" s="31">
        <v>23353</v>
      </c>
      <c r="B7" s="112"/>
      <c r="C7" s="112"/>
      <c r="D7" s="112"/>
      <c r="E7" s="113"/>
      <c r="F7" s="113"/>
      <c r="H7" s="115"/>
      <c r="I7" s="114"/>
    </row>
    <row r="8" spans="1:9" ht="20.100000000000001" customHeight="1" x14ac:dyDescent="0.25">
      <c r="A8" s="31">
        <v>34533</v>
      </c>
      <c r="B8" s="112"/>
      <c r="C8" s="112"/>
      <c r="D8" s="112"/>
      <c r="E8" s="113"/>
      <c r="F8" s="113"/>
      <c r="H8" s="115"/>
      <c r="I8" s="114"/>
    </row>
    <row r="9" spans="1:9" ht="20.100000000000001" customHeight="1" x14ac:dyDescent="0.25">
      <c r="A9" s="31">
        <v>39599</v>
      </c>
      <c r="B9" s="112"/>
      <c r="C9" s="112"/>
      <c r="D9" s="112"/>
      <c r="E9" s="113"/>
      <c r="F9" s="113"/>
      <c r="H9" s="115"/>
      <c r="I9" s="114"/>
    </row>
    <row r="10" spans="1:9" ht="20.100000000000001" customHeight="1" x14ac:dyDescent="0.25">
      <c r="A10" s="31">
        <v>39101</v>
      </c>
      <c r="B10" s="112"/>
      <c r="C10" s="112"/>
      <c r="D10" s="112"/>
      <c r="E10" s="113"/>
      <c r="F10" s="113"/>
      <c r="H10" s="1"/>
    </row>
    <row r="11" spans="1:9" ht="20.100000000000001" customHeight="1" x14ac:dyDescent="0.25">
      <c r="A11" s="31">
        <v>41177</v>
      </c>
      <c r="B11" s="112"/>
      <c r="C11" s="112"/>
      <c r="D11" s="112"/>
      <c r="E11" s="113"/>
      <c r="F11" s="113"/>
      <c r="H11" s="1"/>
    </row>
    <row r="13" spans="1:9" ht="20.100000000000001" customHeight="1" x14ac:dyDescent="0.25">
      <c r="A13" s="145"/>
      <c r="B13" s="145"/>
      <c r="C13" s="145"/>
      <c r="D13" s="145"/>
      <c r="E13" s="145"/>
      <c r="F13" s="145"/>
      <c r="G13" s="145"/>
    </row>
    <row r="14" spans="1:9" ht="20.100000000000001" customHeight="1" x14ac:dyDescent="0.25">
      <c r="A14" s="145"/>
      <c r="B14" s="145"/>
      <c r="C14" s="145"/>
      <c r="D14" s="145"/>
      <c r="E14" s="145"/>
      <c r="F14" s="145"/>
      <c r="G14" s="145"/>
    </row>
    <row r="15" spans="1:9" ht="50.25" customHeight="1" x14ac:dyDescent="0.25">
      <c r="A15" s="145"/>
      <c r="B15" s="145"/>
      <c r="C15" s="145"/>
      <c r="D15" s="145"/>
      <c r="E15" s="145"/>
      <c r="F15" s="145"/>
      <c r="G15" s="145"/>
    </row>
  </sheetData>
  <mergeCells count="2">
    <mergeCell ref="A1:G1"/>
    <mergeCell ref="A13:G15"/>
  </mergeCells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A28D-CFD0-47FA-9FB2-F92EBD5AFEA7}">
  <dimension ref="A1:E87"/>
  <sheetViews>
    <sheetView showGridLines="0" zoomScale="90" zoomScaleNormal="90" workbookViewId="0">
      <selection activeCell="F2" sqref="F2"/>
    </sheetView>
  </sheetViews>
  <sheetFormatPr defaultRowHeight="15" x14ac:dyDescent="0.25"/>
  <cols>
    <col min="1" max="1" width="29.7109375" bestFit="1" customWidth="1"/>
    <col min="2" max="2" width="26" customWidth="1"/>
    <col min="3" max="3" width="12.85546875" bestFit="1" customWidth="1"/>
    <col min="4" max="4" width="16" bestFit="1" customWidth="1"/>
    <col min="5" max="5" width="13.5703125" bestFit="1" customWidth="1"/>
  </cols>
  <sheetData>
    <row r="1" spans="1:5" ht="73.5" customHeight="1" x14ac:dyDescent="0.25"/>
    <row r="2" spans="1:5" ht="15.75" x14ac:dyDescent="0.25">
      <c r="A2" s="45" t="s">
        <v>15</v>
      </c>
      <c r="B2" s="45" t="s">
        <v>16</v>
      </c>
      <c r="C2" s="45" t="s">
        <v>17</v>
      </c>
      <c r="D2" s="45" t="s">
        <v>18</v>
      </c>
      <c r="E2" s="45" t="s">
        <v>19</v>
      </c>
    </row>
    <row r="3" spans="1:5" ht="15.75" x14ac:dyDescent="0.25">
      <c r="A3" s="32" t="s">
        <v>20</v>
      </c>
      <c r="B3" s="32" t="s">
        <v>193</v>
      </c>
      <c r="C3" s="32" t="s">
        <v>22</v>
      </c>
      <c r="D3" s="32" t="s">
        <v>23</v>
      </c>
      <c r="E3" s="116">
        <v>1360.625</v>
      </c>
    </row>
    <row r="4" spans="1:5" ht="15.75" x14ac:dyDescent="0.25">
      <c r="A4" s="32" t="s">
        <v>24</v>
      </c>
      <c r="B4" s="32" t="s">
        <v>194</v>
      </c>
      <c r="C4" s="32" t="s">
        <v>22</v>
      </c>
      <c r="D4" s="32" t="s">
        <v>25</v>
      </c>
      <c r="E4" s="116">
        <v>2143.75</v>
      </c>
    </row>
    <row r="5" spans="1:5" ht="15.75" x14ac:dyDescent="0.25">
      <c r="A5" s="32" t="s">
        <v>26</v>
      </c>
      <c r="B5" s="32" t="s">
        <v>194</v>
      </c>
      <c r="C5" s="32" t="s">
        <v>22</v>
      </c>
      <c r="D5" s="32" t="s">
        <v>25</v>
      </c>
      <c r="E5" s="116">
        <v>1080.625</v>
      </c>
    </row>
    <row r="6" spans="1:5" ht="15.75" x14ac:dyDescent="0.25">
      <c r="A6" s="32" t="s">
        <v>27</v>
      </c>
      <c r="B6" s="32" t="s">
        <v>28</v>
      </c>
      <c r="C6" s="32" t="s">
        <v>29</v>
      </c>
      <c r="D6" s="32" t="s">
        <v>30</v>
      </c>
      <c r="E6" s="116">
        <v>586.25</v>
      </c>
    </row>
    <row r="7" spans="1:5" ht="15.75" x14ac:dyDescent="0.25">
      <c r="A7" s="32" t="s">
        <v>31</v>
      </c>
      <c r="B7" s="32" t="s">
        <v>32</v>
      </c>
      <c r="C7" s="32" t="s">
        <v>33</v>
      </c>
      <c r="D7" s="32" t="s">
        <v>34</v>
      </c>
      <c r="E7" s="116">
        <v>793.75</v>
      </c>
    </row>
    <row r="8" spans="1:5" ht="15.75" x14ac:dyDescent="0.25">
      <c r="A8" s="32" t="s">
        <v>35</v>
      </c>
      <c r="B8" s="32" t="s">
        <v>32</v>
      </c>
      <c r="C8" s="32" t="s">
        <v>33</v>
      </c>
      <c r="D8" s="32" t="s">
        <v>36</v>
      </c>
      <c r="E8" s="116">
        <v>793.75</v>
      </c>
    </row>
    <row r="9" spans="1:5" ht="15.75" x14ac:dyDescent="0.25">
      <c r="A9" s="32" t="s">
        <v>37</v>
      </c>
      <c r="B9" s="32" t="s">
        <v>32</v>
      </c>
      <c r="C9" s="32" t="s">
        <v>33</v>
      </c>
      <c r="D9" s="32" t="s">
        <v>36</v>
      </c>
      <c r="E9" s="116">
        <v>1335</v>
      </c>
    </row>
    <row r="10" spans="1:5" ht="15.75" x14ac:dyDescent="0.25">
      <c r="A10" s="32" t="s">
        <v>38</v>
      </c>
      <c r="B10" s="32" t="s">
        <v>28</v>
      </c>
      <c r="C10" s="32" t="s">
        <v>39</v>
      </c>
      <c r="D10" s="32" t="s">
        <v>23</v>
      </c>
      <c r="E10" s="116">
        <v>532.5</v>
      </c>
    </row>
    <row r="11" spans="1:5" ht="15.75" x14ac:dyDescent="0.25">
      <c r="A11" s="32" t="s">
        <v>40</v>
      </c>
      <c r="B11" s="32" t="s">
        <v>28</v>
      </c>
      <c r="C11" s="32" t="s">
        <v>39</v>
      </c>
      <c r="D11" s="32" t="s">
        <v>23</v>
      </c>
      <c r="E11" s="116">
        <v>643.75</v>
      </c>
    </row>
    <row r="12" spans="1:5" ht="15.75" x14ac:dyDescent="0.25">
      <c r="A12" s="32" t="s">
        <v>41</v>
      </c>
      <c r="B12" s="32" t="s">
        <v>42</v>
      </c>
      <c r="C12" s="32" t="s">
        <v>43</v>
      </c>
      <c r="D12" s="32" t="s">
        <v>23</v>
      </c>
      <c r="E12" s="116">
        <v>1290</v>
      </c>
    </row>
    <row r="13" spans="1:5" ht="15.75" x14ac:dyDescent="0.25">
      <c r="A13" s="32" t="s">
        <v>44</v>
      </c>
      <c r="B13" s="32" t="s">
        <v>42</v>
      </c>
      <c r="C13" s="32" t="s">
        <v>43</v>
      </c>
      <c r="D13" s="32" t="s">
        <v>45</v>
      </c>
      <c r="E13" s="116">
        <v>1900</v>
      </c>
    </row>
    <row r="14" spans="1:5" ht="15.75" x14ac:dyDescent="0.25">
      <c r="A14" s="32" t="s">
        <v>46</v>
      </c>
      <c r="B14" s="32" t="s">
        <v>42</v>
      </c>
      <c r="C14" s="32" t="s">
        <v>43</v>
      </c>
      <c r="D14" s="32" t="s">
        <v>47</v>
      </c>
      <c r="E14" s="116">
        <v>1968</v>
      </c>
    </row>
    <row r="15" spans="1:5" ht="15.75" x14ac:dyDescent="0.25">
      <c r="A15" s="32" t="s">
        <v>48</v>
      </c>
      <c r="B15" s="32" t="s">
        <v>42</v>
      </c>
      <c r="C15" s="32" t="s">
        <v>43</v>
      </c>
      <c r="D15" s="32" t="s">
        <v>47</v>
      </c>
      <c r="E15" s="116">
        <v>1980</v>
      </c>
    </row>
    <row r="16" spans="1:5" ht="15.75" x14ac:dyDescent="0.25">
      <c r="A16" s="32" t="s">
        <v>49</v>
      </c>
      <c r="B16" s="32" t="s">
        <v>193</v>
      </c>
      <c r="C16" s="32" t="s">
        <v>43</v>
      </c>
      <c r="D16" s="32" t="s">
        <v>36</v>
      </c>
      <c r="E16" s="116">
        <v>1443.75</v>
      </c>
    </row>
    <row r="17" spans="1:5" ht="15.75" x14ac:dyDescent="0.25">
      <c r="A17" s="32" t="s">
        <v>50</v>
      </c>
      <c r="B17" s="32" t="s">
        <v>51</v>
      </c>
      <c r="C17" s="32" t="s">
        <v>52</v>
      </c>
      <c r="D17" s="32" t="s">
        <v>47</v>
      </c>
      <c r="E17" s="116">
        <v>567.5</v>
      </c>
    </row>
    <row r="18" spans="1:5" ht="15.75" x14ac:dyDescent="0.25">
      <c r="A18" s="32" t="s">
        <v>53</v>
      </c>
      <c r="B18" s="32" t="s">
        <v>51</v>
      </c>
      <c r="C18" s="32" t="s">
        <v>52</v>
      </c>
      <c r="D18" s="32" t="s">
        <v>54</v>
      </c>
      <c r="E18" s="116">
        <v>537.5</v>
      </c>
    </row>
    <row r="19" spans="1:5" ht="15.75" x14ac:dyDescent="0.25">
      <c r="A19" s="32" t="s">
        <v>55</v>
      </c>
      <c r="B19" s="32" t="s">
        <v>193</v>
      </c>
      <c r="C19" s="32" t="s">
        <v>56</v>
      </c>
      <c r="D19" s="32" t="s">
        <v>54</v>
      </c>
      <c r="E19" s="116">
        <v>1470</v>
      </c>
    </row>
    <row r="20" spans="1:5" ht="15.75" x14ac:dyDescent="0.25">
      <c r="A20" s="32" t="s">
        <v>57</v>
      </c>
      <c r="B20" s="32" t="s">
        <v>58</v>
      </c>
      <c r="C20" s="32" t="s">
        <v>59</v>
      </c>
      <c r="D20" s="32" t="s">
        <v>45</v>
      </c>
      <c r="E20" s="116">
        <v>670</v>
      </c>
    </row>
    <row r="21" spans="1:5" ht="15.75" x14ac:dyDescent="0.25">
      <c r="A21" s="32" t="s">
        <v>60</v>
      </c>
      <c r="B21" s="32" t="s">
        <v>58</v>
      </c>
      <c r="C21" s="32" t="s">
        <v>59</v>
      </c>
      <c r="D21" s="32" t="s">
        <v>61</v>
      </c>
      <c r="E21" s="116">
        <v>2012</v>
      </c>
    </row>
    <row r="22" spans="1:5" ht="15.75" x14ac:dyDescent="0.25">
      <c r="A22" s="32" t="s">
        <v>62</v>
      </c>
      <c r="B22" s="32" t="s">
        <v>193</v>
      </c>
      <c r="C22" s="32" t="s">
        <v>59</v>
      </c>
      <c r="D22" s="32" t="s">
        <v>34</v>
      </c>
      <c r="E22" s="116">
        <v>1500.625</v>
      </c>
    </row>
    <row r="23" spans="1:5" ht="15.75" x14ac:dyDescent="0.25">
      <c r="A23" s="32" t="s">
        <v>63</v>
      </c>
      <c r="B23" s="32" t="s">
        <v>58</v>
      </c>
      <c r="C23" s="32" t="s">
        <v>64</v>
      </c>
      <c r="D23" s="32" t="s">
        <v>65</v>
      </c>
      <c r="E23" s="116">
        <v>1945</v>
      </c>
    </row>
    <row r="24" spans="1:5" ht="15.75" x14ac:dyDescent="0.25">
      <c r="A24" s="32" t="s">
        <v>66</v>
      </c>
      <c r="B24" s="32" t="s">
        <v>28</v>
      </c>
      <c r="C24" s="32" t="s">
        <v>67</v>
      </c>
      <c r="D24" s="32" t="s">
        <v>45</v>
      </c>
      <c r="E24" s="116">
        <v>638.75</v>
      </c>
    </row>
    <row r="25" spans="1:5" ht="15.75" x14ac:dyDescent="0.25">
      <c r="A25" s="32" t="s">
        <v>68</v>
      </c>
      <c r="B25" s="32" t="s">
        <v>69</v>
      </c>
      <c r="C25" s="32" t="s">
        <v>70</v>
      </c>
      <c r="D25" s="32" t="s">
        <v>23</v>
      </c>
      <c r="E25" s="116">
        <v>858.75</v>
      </c>
    </row>
    <row r="26" spans="1:5" ht="15.75" x14ac:dyDescent="0.25">
      <c r="A26" s="32" t="s">
        <v>71</v>
      </c>
      <c r="B26" s="32" t="s">
        <v>69</v>
      </c>
      <c r="C26" s="32" t="s">
        <v>70</v>
      </c>
      <c r="D26" s="32" t="s">
        <v>25</v>
      </c>
      <c r="E26" s="116">
        <v>1713.75</v>
      </c>
    </row>
    <row r="27" spans="1:5" ht="15.75" x14ac:dyDescent="0.25">
      <c r="A27" s="32" t="s">
        <v>72</v>
      </c>
      <c r="B27" s="32" t="s">
        <v>69</v>
      </c>
      <c r="C27" s="32" t="s">
        <v>70</v>
      </c>
      <c r="D27" s="32" t="s">
        <v>73</v>
      </c>
      <c r="E27" s="116">
        <v>866.25</v>
      </c>
    </row>
    <row r="28" spans="1:5" ht="15.75" x14ac:dyDescent="0.25">
      <c r="A28" s="32" t="s">
        <v>74</v>
      </c>
      <c r="B28" s="32" t="s">
        <v>69</v>
      </c>
      <c r="C28" s="32" t="s">
        <v>70</v>
      </c>
      <c r="D28" s="32" t="s">
        <v>65</v>
      </c>
      <c r="E28" s="116">
        <v>1121.25</v>
      </c>
    </row>
    <row r="29" spans="1:5" ht="15.75" x14ac:dyDescent="0.25">
      <c r="A29" s="32" t="s">
        <v>75</v>
      </c>
      <c r="B29" s="32" t="s">
        <v>58</v>
      </c>
      <c r="C29" s="32" t="s">
        <v>76</v>
      </c>
      <c r="D29" s="32" t="s">
        <v>61</v>
      </c>
      <c r="E29" s="116">
        <v>2260</v>
      </c>
    </row>
    <row r="30" spans="1:5" ht="15.75" x14ac:dyDescent="0.25">
      <c r="A30" s="32" t="s">
        <v>77</v>
      </c>
      <c r="B30" s="32" t="s">
        <v>42</v>
      </c>
      <c r="C30" s="32" t="s">
        <v>76</v>
      </c>
      <c r="D30" s="32" t="s">
        <v>73</v>
      </c>
      <c r="E30" s="116">
        <v>772</v>
      </c>
    </row>
    <row r="31" spans="1:5" ht="15.75" x14ac:dyDescent="0.25">
      <c r="A31" s="32" t="s">
        <v>78</v>
      </c>
      <c r="B31" s="32" t="s">
        <v>28</v>
      </c>
      <c r="C31" s="32" t="s">
        <v>76</v>
      </c>
      <c r="D31" s="32" t="s">
        <v>36</v>
      </c>
      <c r="E31" s="116">
        <v>637.5</v>
      </c>
    </row>
    <row r="32" spans="1:5" ht="15.75" x14ac:dyDescent="0.25">
      <c r="A32" s="32" t="s">
        <v>79</v>
      </c>
      <c r="B32" s="32" t="s">
        <v>58</v>
      </c>
      <c r="C32" s="32" t="s">
        <v>80</v>
      </c>
      <c r="D32" s="32" t="s">
        <v>23</v>
      </c>
      <c r="E32" s="116">
        <v>2030</v>
      </c>
    </row>
    <row r="33" spans="1:5" ht="15.75" x14ac:dyDescent="0.25">
      <c r="A33" s="32" t="s">
        <v>81</v>
      </c>
      <c r="B33" s="32" t="s">
        <v>58</v>
      </c>
      <c r="C33" s="32" t="s">
        <v>80</v>
      </c>
      <c r="D33" s="32" t="s">
        <v>65</v>
      </c>
      <c r="E33" s="116">
        <v>1844</v>
      </c>
    </row>
    <row r="34" spans="1:5" ht="15.75" x14ac:dyDescent="0.25">
      <c r="A34" s="32" t="s">
        <v>82</v>
      </c>
      <c r="B34" s="32" t="s">
        <v>58</v>
      </c>
      <c r="C34" s="32" t="s">
        <v>80</v>
      </c>
      <c r="D34" s="32" t="s">
        <v>65</v>
      </c>
      <c r="E34" s="116">
        <v>1648</v>
      </c>
    </row>
    <row r="35" spans="1:5" ht="15.75" x14ac:dyDescent="0.25">
      <c r="A35" s="32" t="s">
        <v>83</v>
      </c>
      <c r="B35" s="32" t="s">
        <v>193</v>
      </c>
      <c r="C35" s="32" t="s">
        <v>84</v>
      </c>
      <c r="D35" s="32" t="s">
        <v>65</v>
      </c>
      <c r="E35" s="116">
        <v>1789.375</v>
      </c>
    </row>
    <row r="36" spans="1:5" ht="15.75" x14ac:dyDescent="0.25">
      <c r="A36" s="32" t="s">
        <v>85</v>
      </c>
      <c r="B36" s="32" t="s">
        <v>193</v>
      </c>
      <c r="C36" s="32" t="s">
        <v>86</v>
      </c>
      <c r="D36" s="32" t="s">
        <v>45</v>
      </c>
      <c r="E36" s="116">
        <v>1299.375</v>
      </c>
    </row>
    <row r="37" spans="1:5" ht="15.75" x14ac:dyDescent="0.25">
      <c r="A37" s="32" t="s">
        <v>87</v>
      </c>
      <c r="B37" s="32" t="s">
        <v>193</v>
      </c>
      <c r="C37" s="32" t="s">
        <v>86</v>
      </c>
      <c r="D37" s="32" t="s">
        <v>88</v>
      </c>
      <c r="E37" s="116">
        <v>1588.125</v>
      </c>
    </row>
    <row r="38" spans="1:5" ht="15.75" x14ac:dyDescent="0.25">
      <c r="A38" s="32" t="s">
        <v>89</v>
      </c>
      <c r="B38" s="32" t="s">
        <v>193</v>
      </c>
      <c r="C38" s="32" t="s">
        <v>86</v>
      </c>
      <c r="D38" s="32" t="s">
        <v>54</v>
      </c>
      <c r="E38" s="116">
        <v>2318.75</v>
      </c>
    </row>
    <row r="39" spans="1:5" ht="15.75" x14ac:dyDescent="0.25">
      <c r="A39" s="32" t="s">
        <v>90</v>
      </c>
      <c r="B39" s="32" t="s">
        <v>193</v>
      </c>
      <c r="C39" s="32" t="s">
        <v>86</v>
      </c>
      <c r="D39" s="32" t="s">
        <v>65</v>
      </c>
      <c r="E39" s="116">
        <v>997.5</v>
      </c>
    </row>
    <row r="40" spans="1:5" ht="15.75" x14ac:dyDescent="0.25">
      <c r="A40" s="32" t="s">
        <v>91</v>
      </c>
      <c r="B40" s="32" t="s">
        <v>42</v>
      </c>
      <c r="C40" s="32" t="s">
        <v>92</v>
      </c>
      <c r="D40" s="32" t="s">
        <v>45</v>
      </c>
      <c r="E40" s="116">
        <v>2144</v>
      </c>
    </row>
    <row r="41" spans="1:5" ht="15.75" x14ac:dyDescent="0.25">
      <c r="A41" s="32" t="s">
        <v>93</v>
      </c>
      <c r="B41" s="32" t="s">
        <v>58</v>
      </c>
      <c r="C41" s="32" t="s">
        <v>92</v>
      </c>
      <c r="D41" s="32" t="s">
        <v>45</v>
      </c>
      <c r="E41" s="116">
        <v>656</v>
      </c>
    </row>
    <row r="42" spans="1:5" ht="15.75" x14ac:dyDescent="0.25">
      <c r="A42" s="32" t="s">
        <v>94</v>
      </c>
      <c r="B42" s="32" t="s">
        <v>58</v>
      </c>
      <c r="C42" s="32" t="s">
        <v>92</v>
      </c>
      <c r="D42" s="32" t="s">
        <v>45</v>
      </c>
      <c r="E42" s="116">
        <v>1376</v>
      </c>
    </row>
    <row r="43" spans="1:5" ht="15.75" x14ac:dyDescent="0.25">
      <c r="A43" s="32" t="s">
        <v>95</v>
      </c>
      <c r="B43" s="32" t="s">
        <v>58</v>
      </c>
      <c r="C43" s="32" t="s">
        <v>92</v>
      </c>
      <c r="D43" s="32" t="s">
        <v>88</v>
      </c>
      <c r="E43" s="116">
        <v>1748</v>
      </c>
    </row>
    <row r="44" spans="1:5" ht="15.75" x14ac:dyDescent="0.25">
      <c r="A44" s="32" t="s">
        <v>96</v>
      </c>
      <c r="B44" s="32" t="s">
        <v>58</v>
      </c>
      <c r="C44" s="32" t="s">
        <v>92</v>
      </c>
      <c r="D44" s="32" t="s">
        <v>47</v>
      </c>
      <c r="E44" s="116">
        <v>916</v>
      </c>
    </row>
    <row r="45" spans="1:5" ht="15.75" x14ac:dyDescent="0.25">
      <c r="A45" s="32" t="s">
        <v>97</v>
      </c>
      <c r="B45" s="32" t="s">
        <v>193</v>
      </c>
      <c r="C45" s="32" t="s">
        <v>92</v>
      </c>
      <c r="D45" s="32" t="s">
        <v>47</v>
      </c>
      <c r="E45" s="116">
        <v>673.75</v>
      </c>
    </row>
    <row r="46" spans="1:5" ht="15.75" x14ac:dyDescent="0.25">
      <c r="A46" s="32" t="s">
        <v>98</v>
      </c>
      <c r="B46" s="32" t="s">
        <v>58</v>
      </c>
      <c r="C46" s="32" t="s">
        <v>92</v>
      </c>
      <c r="D46" s="32" t="s">
        <v>54</v>
      </c>
      <c r="E46" s="116">
        <v>1664</v>
      </c>
    </row>
    <row r="47" spans="1:5" ht="15.75" x14ac:dyDescent="0.25">
      <c r="A47" s="32" t="s">
        <v>99</v>
      </c>
      <c r="B47" s="32" t="s">
        <v>32</v>
      </c>
      <c r="C47" s="32" t="s">
        <v>92</v>
      </c>
      <c r="D47" s="32" t="s">
        <v>73</v>
      </c>
      <c r="E47" s="116">
        <v>825</v>
      </c>
    </row>
    <row r="48" spans="1:5" ht="15.75" x14ac:dyDescent="0.25">
      <c r="A48" s="32" t="s">
        <v>100</v>
      </c>
      <c r="B48" s="32" t="s">
        <v>58</v>
      </c>
      <c r="C48" s="32" t="s">
        <v>92</v>
      </c>
      <c r="D48" s="32" t="s">
        <v>73</v>
      </c>
      <c r="E48" s="116">
        <v>1008</v>
      </c>
    </row>
    <row r="49" spans="1:5" ht="15.75" x14ac:dyDescent="0.25">
      <c r="A49" s="32" t="s">
        <v>101</v>
      </c>
      <c r="B49" s="32" t="s">
        <v>58</v>
      </c>
      <c r="C49" s="32" t="s">
        <v>92</v>
      </c>
      <c r="D49" s="32" t="s">
        <v>34</v>
      </c>
      <c r="E49" s="116">
        <v>672</v>
      </c>
    </row>
    <row r="50" spans="1:5" ht="15.75" x14ac:dyDescent="0.25">
      <c r="A50" s="32" t="s">
        <v>102</v>
      </c>
      <c r="B50" s="32" t="s">
        <v>58</v>
      </c>
      <c r="C50" s="32" t="s">
        <v>92</v>
      </c>
      <c r="D50" s="32" t="s">
        <v>65</v>
      </c>
      <c r="E50" s="116">
        <v>1108</v>
      </c>
    </row>
    <row r="51" spans="1:5" ht="15.75" x14ac:dyDescent="0.25">
      <c r="A51" s="32" t="s">
        <v>103</v>
      </c>
      <c r="B51" s="32" t="s">
        <v>42</v>
      </c>
      <c r="C51" s="32" t="s">
        <v>92</v>
      </c>
      <c r="D51" s="32" t="s">
        <v>36</v>
      </c>
      <c r="E51" s="116">
        <v>768</v>
      </c>
    </row>
    <row r="52" spans="1:5" ht="15.75" x14ac:dyDescent="0.25">
      <c r="A52" s="32" t="s">
        <v>104</v>
      </c>
      <c r="B52" s="32" t="s">
        <v>58</v>
      </c>
      <c r="C52" s="32" t="s">
        <v>92</v>
      </c>
      <c r="D52" s="32" t="s">
        <v>36</v>
      </c>
      <c r="E52" s="116">
        <v>1800</v>
      </c>
    </row>
    <row r="53" spans="1:5" ht="15.75" x14ac:dyDescent="0.25">
      <c r="A53" s="32" t="s">
        <v>105</v>
      </c>
      <c r="B53" s="32" t="s">
        <v>51</v>
      </c>
      <c r="C53" s="32" t="s">
        <v>106</v>
      </c>
      <c r="D53" s="32" t="s">
        <v>23</v>
      </c>
      <c r="E53" s="116">
        <v>650</v>
      </c>
    </row>
    <row r="54" spans="1:5" ht="15.75" x14ac:dyDescent="0.25">
      <c r="A54" s="32" t="s">
        <v>107</v>
      </c>
      <c r="B54" s="32" t="s">
        <v>51</v>
      </c>
      <c r="C54" s="32" t="s">
        <v>108</v>
      </c>
      <c r="D54" s="32" t="s">
        <v>73</v>
      </c>
      <c r="E54" s="116">
        <v>672.5</v>
      </c>
    </row>
    <row r="55" spans="1:5" ht="15.75" x14ac:dyDescent="0.25">
      <c r="A55" s="32" t="s">
        <v>109</v>
      </c>
      <c r="B55" s="32" t="s">
        <v>58</v>
      </c>
      <c r="C55" s="32" t="s">
        <v>110</v>
      </c>
      <c r="D55" s="32" t="s">
        <v>88</v>
      </c>
      <c r="E55" s="116">
        <v>925</v>
      </c>
    </row>
    <row r="56" spans="1:5" ht="15.75" x14ac:dyDescent="0.25">
      <c r="A56" s="32" t="s">
        <v>111</v>
      </c>
      <c r="B56" s="32" t="s">
        <v>58</v>
      </c>
      <c r="C56" s="32" t="s">
        <v>110</v>
      </c>
      <c r="D56" s="32" t="s">
        <v>47</v>
      </c>
      <c r="E56" s="116">
        <v>560</v>
      </c>
    </row>
    <row r="57" spans="1:5" ht="15.75" x14ac:dyDescent="0.25">
      <c r="A57" s="32" t="s">
        <v>112</v>
      </c>
      <c r="B57" s="32" t="s">
        <v>58</v>
      </c>
      <c r="C57" s="32" t="s">
        <v>110</v>
      </c>
      <c r="D57" s="32" t="s">
        <v>54</v>
      </c>
      <c r="E57" s="116">
        <v>1744</v>
      </c>
    </row>
    <row r="58" spans="1:5" ht="15.75" x14ac:dyDescent="0.25">
      <c r="A58" s="32" t="s">
        <v>113</v>
      </c>
      <c r="B58" s="32" t="s">
        <v>58</v>
      </c>
      <c r="C58" s="32" t="s">
        <v>110</v>
      </c>
      <c r="D58" s="32" t="s">
        <v>34</v>
      </c>
      <c r="E58" s="116">
        <v>2610</v>
      </c>
    </row>
    <row r="59" spans="1:5" ht="15.75" x14ac:dyDescent="0.25">
      <c r="A59" s="32" t="s">
        <v>114</v>
      </c>
      <c r="B59" s="32" t="s">
        <v>58</v>
      </c>
      <c r="C59" s="32" t="s">
        <v>110</v>
      </c>
      <c r="D59" s="32" t="s">
        <v>65</v>
      </c>
      <c r="E59" s="116">
        <v>740</v>
      </c>
    </row>
    <row r="60" spans="1:5" ht="15.75" x14ac:dyDescent="0.25">
      <c r="A60" s="32" t="s">
        <v>115</v>
      </c>
      <c r="B60" s="32" t="s">
        <v>58</v>
      </c>
      <c r="C60" s="32" t="s">
        <v>110</v>
      </c>
      <c r="D60" s="32" t="s">
        <v>36</v>
      </c>
      <c r="E60" s="116">
        <v>805</v>
      </c>
    </row>
    <row r="61" spans="1:5" ht="15.75" x14ac:dyDescent="0.25">
      <c r="A61" s="32" t="s">
        <v>37</v>
      </c>
      <c r="B61" s="32" t="s">
        <v>32</v>
      </c>
      <c r="C61" s="32" t="s">
        <v>33</v>
      </c>
      <c r="D61" s="32" t="s">
        <v>36</v>
      </c>
      <c r="E61" s="116">
        <v>1335</v>
      </c>
    </row>
    <row r="62" spans="1:5" ht="15.75" x14ac:dyDescent="0.25">
      <c r="A62" s="32" t="s">
        <v>38</v>
      </c>
      <c r="B62" s="32" t="s">
        <v>28</v>
      </c>
      <c r="C62" s="32" t="s">
        <v>39</v>
      </c>
      <c r="D62" s="32" t="s">
        <v>23</v>
      </c>
      <c r="E62" s="116">
        <v>532.5</v>
      </c>
    </row>
    <row r="63" spans="1:5" ht="15.75" x14ac:dyDescent="0.25">
      <c r="A63" s="32" t="s">
        <v>40</v>
      </c>
      <c r="B63" s="32" t="s">
        <v>28</v>
      </c>
      <c r="C63" s="32" t="s">
        <v>39</v>
      </c>
      <c r="D63" s="32" t="s">
        <v>23</v>
      </c>
      <c r="E63" s="116">
        <v>643.75</v>
      </c>
    </row>
    <row r="64" spans="1:5" ht="15.75" x14ac:dyDescent="0.25">
      <c r="A64" s="32" t="s">
        <v>41</v>
      </c>
      <c r="B64" s="32" t="s">
        <v>42</v>
      </c>
      <c r="C64" s="32" t="s">
        <v>43</v>
      </c>
      <c r="D64" s="32" t="s">
        <v>23</v>
      </c>
      <c r="E64" s="116">
        <v>1290</v>
      </c>
    </row>
    <row r="65" spans="1:5" ht="15.75" x14ac:dyDescent="0.25">
      <c r="A65" s="32" t="s">
        <v>44</v>
      </c>
      <c r="B65" s="32" t="s">
        <v>42</v>
      </c>
      <c r="C65" s="32" t="s">
        <v>43</v>
      </c>
      <c r="D65" s="32" t="s">
        <v>45</v>
      </c>
      <c r="E65" s="116">
        <v>1900</v>
      </c>
    </row>
    <row r="66" spans="1:5" ht="15.75" x14ac:dyDescent="0.25">
      <c r="A66" s="32" t="s">
        <v>46</v>
      </c>
      <c r="B66" s="32" t="s">
        <v>42</v>
      </c>
      <c r="C66" s="32" t="s">
        <v>43</v>
      </c>
      <c r="D66" s="32" t="s">
        <v>47</v>
      </c>
      <c r="E66" s="116">
        <v>1968</v>
      </c>
    </row>
    <row r="67" spans="1:5" ht="15.75" x14ac:dyDescent="0.25">
      <c r="A67" s="32" t="s">
        <v>48</v>
      </c>
      <c r="B67" s="32" t="s">
        <v>42</v>
      </c>
      <c r="C67" s="32" t="s">
        <v>43</v>
      </c>
      <c r="D67" s="32" t="s">
        <v>47</v>
      </c>
      <c r="E67" s="116">
        <v>1980</v>
      </c>
    </row>
    <row r="68" spans="1:5" ht="15.75" x14ac:dyDescent="0.25">
      <c r="A68" s="32" t="s">
        <v>49</v>
      </c>
      <c r="B68" s="32" t="s">
        <v>193</v>
      </c>
      <c r="C68" s="32" t="s">
        <v>43</v>
      </c>
      <c r="D68" s="32" t="s">
        <v>36</v>
      </c>
      <c r="E68" s="116">
        <v>1443.75</v>
      </c>
    </row>
    <row r="69" spans="1:5" ht="15.75" x14ac:dyDescent="0.25">
      <c r="A69" s="32" t="s">
        <v>50</v>
      </c>
      <c r="B69" s="32" t="s">
        <v>51</v>
      </c>
      <c r="C69" s="32" t="s">
        <v>52</v>
      </c>
      <c r="D69" s="32" t="s">
        <v>47</v>
      </c>
      <c r="E69" s="116">
        <v>567.5</v>
      </c>
    </row>
    <row r="70" spans="1:5" ht="15.75" x14ac:dyDescent="0.25">
      <c r="A70" s="32" t="s">
        <v>53</v>
      </c>
      <c r="B70" s="32" t="s">
        <v>51</v>
      </c>
      <c r="C70" s="32" t="s">
        <v>52</v>
      </c>
      <c r="D70" s="32" t="s">
        <v>54</v>
      </c>
      <c r="E70" s="116">
        <v>537.5</v>
      </c>
    </row>
    <row r="71" spans="1:5" ht="15.75" x14ac:dyDescent="0.25">
      <c r="A71" s="32" t="s">
        <v>55</v>
      </c>
      <c r="B71" s="32" t="s">
        <v>193</v>
      </c>
      <c r="C71" s="32" t="s">
        <v>56</v>
      </c>
      <c r="D71" s="32" t="s">
        <v>54</v>
      </c>
      <c r="E71" s="116">
        <v>1470</v>
      </c>
    </row>
    <row r="72" spans="1:5" ht="15.75" x14ac:dyDescent="0.25">
      <c r="A72" s="32" t="s">
        <v>57</v>
      </c>
      <c r="B72" s="32" t="s">
        <v>58</v>
      </c>
      <c r="C72" s="32" t="s">
        <v>59</v>
      </c>
      <c r="D72" s="32" t="s">
        <v>45</v>
      </c>
      <c r="E72" s="116">
        <v>670</v>
      </c>
    </row>
    <row r="73" spans="1:5" ht="15.75" x14ac:dyDescent="0.25">
      <c r="A73" s="32" t="s">
        <v>60</v>
      </c>
      <c r="B73" s="32" t="s">
        <v>58</v>
      </c>
      <c r="C73" s="32" t="s">
        <v>59</v>
      </c>
      <c r="D73" s="32" t="s">
        <v>61</v>
      </c>
      <c r="E73" s="116">
        <v>2012</v>
      </c>
    </row>
    <row r="74" spans="1:5" ht="15.75" x14ac:dyDescent="0.25">
      <c r="A74" s="32" t="s">
        <v>62</v>
      </c>
      <c r="B74" s="32" t="s">
        <v>193</v>
      </c>
      <c r="C74" s="32" t="s">
        <v>59</v>
      </c>
      <c r="D74" s="32" t="s">
        <v>34</v>
      </c>
      <c r="E74" s="116">
        <v>1500.625</v>
      </c>
    </row>
    <row r="75" spans="1:5" ht="15.75" x14ac:dyDescent="0.25">
      <c r="A75" s="32" t="s">
        <v>63</v>
      </c>
      <c r="B75" s="32" t="s">
        <v>58</v>
      </c>
      <c r="C75" s="32" t="s">
        <v>64</v>
      </c>
      <c r="D75" s="32" t="s">
        <v>65</v>
      </c>
      <c r="E75" s="116">
        <v>1945</v>
      </c>
    </row>
    <row r="76" spans="1:5" ht="15.75" x14ac:dyDescent="0.25">
      <c r="A76" s="32" t="s">
        <v>66</v>
      </c>
      <c r="B76" s="32" t="s">
        <v>28</v>
      </c>
      <c r="C76" s="32" t="s">
        <v>67</v>
      </c>
      <c r="D76" s="32" t="s">
        <v>45</v>
      </c>
      <c r="E76" s="116">
        <v>638.75</v>
      </c>
    </row>
    <row r="77" spans="1:5" ht="15.75" x14ac:dyDescent="0.25">
      <c r="A77" s="32" t="s">
        <v>68</v>
      </c>
      <c r="B77" s="32" t="s">
        <v>69</v>
      </c>
      <c r="C77" s="32" t="s">
        <v>70</v>
      </c>
      <c r="D77" s="32" t="s">
        <v>23</v>
      </c>
      <c r="E77" s="116">
        <v>858.75</v>
      </c>
    </row>
    <row r="78" spans="1:5" ht="15.75" x14ac:dyDescent="0.25">
      <c r="A78" s="32" t="s">
        <v>71</v>
      </c>
      <c r="B78" s="32" t="s">
        <v>69</v>
      </c>
      <c r="C78" s="32" t="s">
        <v>70</v>
      </c>
      <c r="D78" s="32" t="s">
        <v>25</v>
      </c>
      <c r="E78" s="116">
        <v>1713.75</v>
      </c>
    </row>
    <row r="79" spans="1:5" ht="15.75" x14ac:dyDescent="0.25">
      <c r="A79" s="32" t="s">
        <v>72</v>
      </c>
      <c r="B79" s="32" t="s">
        <v>69</v>
      </c>
      <c r="C79" s="32" t="s">
        <v>70</v>
      </c>
      <c r="D79" s="32" t="s">
        <v>73</v>
      </c>
      <c r="E79" s="116">
        <v>866.25</v>
      </c>
    </row>
    <row r="80" spans="1:5" ht="15.75" x14ac:dyDescent="0.25">
      <c r="A80" s="32" t="s">
        <v>74</v>
      </c>
      <c r="B80" s="32" t="s">
        <v>69</v>
      </c>
      <c r="C80" s="32" t="s">
        <v>70</v>
      </c>
      <c r="D80" s="32" t="s">
        <v>65</v>
      </c>
      <c r="E80" s="116">
        <v>1121.25</v>
      </c>
    </row>
    <row r="81" spans="1:5" ht="15.75" x14ac:dyDescent="0.25">
      <c r="A81" s="32" t="s">
        <v>75</v>
      </c>
      <c r="B81" s="32" t="s">
        <v>58</v>
      </c>
      <c r="C81" s="32" t="s">
        <v>76</v>
      </c>
      <c r="D81" s="32" t="s">
        <v>61</v>
      </c>
      <c r="E81" s="116">
        <v>2260</v>
      </c>
    </row>
    <row r="82" spans="1:5" ht="15.75" x14ac:dyDescent="0.25">
      <c r="A82" s="32" t="s">
        <v>77</v>
      </c>
      <c r="B82" s="32" t="s">
        <v>42</v>
      </c>
      <c r="C82" s="32" t="s">
        <v>76</v>
      </c>
      <c r="D82" s="32" t="s">
        <v>73</v>
      </c>
      <c r="E82" s="116">
        <v>772</v>
      </c>
    </row>
    <row r="83" spans="1:5" ht="15.75" x14ac:dyDescent="0.25">
      <c r="A83" s="32" t="s">
        <v>78</v>
      </c>
      <c r="B83" s="32" t="s">
        <v>28</v>
      </c>
      <c r="C83" s="32" t="s">
        <v>76</v>
      </c>
      <c r="D83" s="32" t="s">
        <v>36</v>
      </c>
      <c r="E83" s="116">
        <v>637.5</v>
      </c>
    </row>
    <row r="84" spans="1:5" ht="15.75" x14ac:dyDescent="0.25">
      <c r="A84" s="32" t="s">
        <v>79</v>
      </c>
      <c r="B84" s="32" t="s">
        <v>58</v>
      </c>
      <c r="C84" s="32" t="s">
        <v>80</v>
      </c>
      <c r="D84" s="32" t="s">
        <v>23</v>
      </c>
      <c r="E84" s="116">
        <v>2030</v>
      </c>
    </row>
    <row r="85" spans="1:5" ht="15.75" x14ac:dyDescent="0.25">
      <c r="A85" s="32" t="s">
        <v>81</v>
      </c>
      <c r="B85" s="32" t="s">
        <v>58</v>
      </c>
      <c r="C85" s="32" t="s">
        <v>80</v>
      </c>
      <c r="D85" s="32" t="s">
        <v>65</v>
      </c>
      <c r="E85" s="116">
        <v>1844</v>
      </c>
    </row>
    <row r="86" spans="1:5" ht="15.75" x14ac:dyDescent="0.25">
      <c r="A86" s="32" t="s">
        <v>82</v>
      </c>
      <c r="B86" s="32" t="s">
        <v>58</v>
      </c>
      <c r="C86" s="32" t="s">
        <v>80</v>
      </c>
      <c r="D86" s="32" t="s">
        <v>65</v>
      </c>
      <c r="E86" s="116">
        <v>1648</v>
      </c>
    </row>
    <row r="87" spans="1:5" ht="15.75" x14ac:dyDescent="0.25">
      <c r="A87" s="32" t="s">
        <v>83</v>
      </c>
      <c r="B87" s="32" t="s">
        <v>193</v>
      </c>
      <c r="C87" s="32" t="s">
        <v>84</v>
      </c>
      <c r="D87" s="32" t="s">
        <v>65</v>
      </c>
      <c r="E87" s="116">
        <v>1789.375</v>
      </c>
    </row>
  </sheetData>
  <autoFilter ref="A2:E87" xr:uid="{865CA28D-CFD0-47FA-9FB2-F92EBD5AFEA7}"/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F5DA-C9CF-403B-9B90-A3B3626DB0DC}">
  <dimension ref="A1:D15"/>
  <sheetViews>
    <sheetView zoomScaleNormal="100" workbookViewId="0">
      <selection activeCell="B2" sqref="B2"/>
    </sheetView>
  </sheetViews>
  <sheetFormatPr defaultRowHeight="15" x14ac:dyDescent="0.25"/>
  <cols>
    <col min="1" max="1" width="26" bestFit="1" customWidth="1"/>
    <col min="2" max="2" width="27" customWidth="1"/>
    <col min="3" max="3" width="37.5703125" customWidth="1"/>
    <col min="4" max="4" width="27.42578125" customWidth="1"/>
  </cols>
  <sheetData>
    <row r="1" spans="1:4" ht="15.75" x14ac:dyDescent="0.25">
      <c r="A1" s="11" t="s">
        <v>15</v>
      </c>
      <c r="B1" t="s">
        <v>195</v>
      </c>
      <c r="C1" t="s">
        <v>196</v>
      </c>
      <c r="D1" t="s">
        <v>197</v>
      </c>
    </row>
    <row r="2" spans="1:4" ht="15.75" x14ac:dyDescent="0.25">
      <c r="A2" s="1" t="s">
        <v>199</v>
      </c>
    </row>
    <row r="3" spans="1:4" ht="15.75" x14ac:dyDescent="0.25">
      <c r="A3" s="1" t="s">
        <v>24</v>
      </c>
    </row>
    <row r="4" spans="1:4" ht="15.75" x14ac:dyDescent="0.25">
      <c r="A4" s="1" t="s">
        <v>26</v>
      </c>
    </row>
    <row r="5" spans="1:4" ht="15.75" x14ac:dyDescent="0.25">
      <c r="A5" s="1" t="s">
        <v>27</v>
      </c>
    </row>
    <row r="6" spans="1:4" ht="15.75" x14ac:dyDescent="0.25">
      <c r="A6" s="1" t="s">
        <v>198</v>
      </c>
    </row>
    <row r="7" spans="1:4" ht="15.75" x14ac:dyDescent="0.25">
      <c r="A7" s="1" t="s">
        <v>35</v>
      </c>
    </row>
    <row r="8" spans="1:4" ht="15.75" x14ac:dyDescent="0.25">
      <c r="A8" s="1" t="s">
        <v>37</v>
      </c>
    </row>
    <row r="9" spans="1:4" ht="15.75" x14ac:dyDescent="0.25">
      <c r="A9" s="1" t="s">
        <v>202</v>
      </c>
    </row>
    <row r="10" spans="1:4" ht="15.75" x14ac:dyDescent="0.25">
      <c r="A10" s="1" t="s">
        <v>40</v>
      </c>
    </row>
    <row r="11" spans="1:4" ht="15.75" x14ac:dyDescent="0.25">
      <c r="A11" s="1" t="s">
        <v>201</v>
      </c>
    </row>
    <row r="12" spans="1:4" ht="15.75" x14ac:dyDescent="0.25">
      <c r="A12" s="1" t="s">
        <v>44</v>
      </c>
    </row>
    <row r="13" spans="1:4" ht="15.75" x14ac:dyDescent="0.25">
      <c r="A13" s="1" t="s">
        <v>46</v>
      </c>
    </row>
    <row r="14" spans="1:4" ht="15.75" x14ac:dyDescent="0.25">
      <c r="A14" s="1" t="s">
        <v>200</v>
      </c>
    </row>
    <row r="15" spans="1:4" ht="15.75" x14ac:dyDescent="0.25">
      <c r="A15" s="1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CE35-86A9-4002-AB5D-BD99663AC9F3}">
  <dimension ref="A1:E16"/>
  <sheetViews>
    <sheetView zoomScaleNormal="100" workbookViewId="0">
      <selection activeCell="C3" sqref="C3"/>
    </sheetView>
  </sheetViews>
  <sheetFormatPr defaultRowHeight="15" x14ac:dyDescent="0.25"/>
  <cols>
    <col min="1" max="1" width="11.42578125" bestFit="1" customWidth="1"/>
    <col min="2" max="2" width="35.5703125" style="123" bestFit="1" customWidth="1"/>
    <col min="3" max="3" width="31.5703125" customWidth="1"/>
    <col min="5" max="5" width="80.5703125" bestFit="1" customWidth="1"/>
  </cols>
  <sheetData>
    <row r="1" spans="1:5" x14ac:dyDescent="0.25">
      <c r="A1" s="117" t="s">
        <v>203</v>
      </c>
      <c r="B1" s="118" t="s">
        <v>204</v>
      </c>
      <c r="C1" s="117" t="s">
        <v>205</v>
      </c>
    </row>
    <row r="2" spans="1:5" x14ac:dyDescent="0.25">
      <c r="A2" s="119" t="s">
        <v>206</v>
      </c>
      <c r="B2" s="120" t="s">
        <v>207</v>
      </c>
      <c r="C2" s="119"/>
    </row>
    <row r="3" spans="1:5" x14ac:dyDescent="0.25">
      <c r="A3" s="119" t="s">
        <v>208</v>
      </c>
      <c r="B3" s="120" t="s">
        <v>209</v>
      </c>
      <c r="C3" s="119"/>
      <c r="E3" t="s">
        <v>210</v>
      </c>
    </row>
    <row r="4" spans="1:5" x14ac:dyDescent="0.25">
      <c r="A4" s="119" t="s">
        <v>211</v>
      </c>
      <c r="B4" s="120" t="s">
        <v>212</v>
      </c>
      <c r="C4" s="119"/>
      <c r="E4" t="s">
        <v>213</v>
      </c>
    </row>
    <row r="8" spans="1:5" x14ac:dyDescent="0.25">
      <c r="A8" s="121" t="s">
        <v>214</v>
      </c>
      <c r="B8" s="122" t="s">
        <v>215</v>
      </c>
    </row>
    <row r="9" spans="1:5" x14ac:dyDescent="0.25">
      <c r="A9" t="s">
        <v>216</v>
      </c>
    </row>
    <row r="10" spans="1:5" x14ac:dyDescent="0.25">
      <c r="A10" t="s">
        <v>217</v>
      </c>
    </row>
    <row r="12" spans="1:5" ht="15.75" x14ac:dyDescent="0.25">
      <c r="A12" s="124" t="s">
        <v>218</v>
      </c>
      <c r="B12" s="123" t="s">
        <v>219</v>
      </c>
    </row>
    <row r="14" spans="1:5" x14ac:dyDescent="0.25">
      <c r="A14" s="121" t="s">
        <v>220</v>
      </c>
      <c r="B14" s="122" t="s">
        <v>221</v>
      </c>
      <c r="C14" s="121" t="s">
        <v>222</v>
      </c>
    </row>
    <row r="15" spans="1:5" x14ac:dyDescent="0.25">
      <c r="A15" t="s">
        <v>223</v>
      </c>
      <c r="B15" s="123">
        <v>34</v>
      </c>
    </row>
    <row r="16" spans="1:5" x14ac:dyDescent="0.25">
      <c r="A16" t="s">
        <v>224</v>
      </c>
      <c r="B16" s="123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A791-1718-4A95-8C79-791B853218BC}">
  <dimension ref="A1:D17"/>
  <sheetViews>
    <sheetView zoomScaleNormal="100" workbookViewId="0">
      <selection activeCell="B6" sqref="B6"/>
    </sheetView>
  </sheetViews>
  <sheetFormatPr defaultRowHeight="15" x14ac:dyDescent="0.25"/>
  <cols>
    <col min="1" max="1" width="80.7109375" bestFit="1" customWidth="1"/>
    <col min="2" max="2" width="23.42578125" bestFit="1" customWidth="1"/>
    <col min="3" max="3" width="15.85546875" bestFit="1" customWidth="1"/>
    <col min="4" max="4" width="23.42578125" bestFit="1" customWidth="1"/>
  </cols>
  <sheetData>
    <row r="1" spans="1:4" ht="18.75" thickBot="1" x14ac:dyDescent="0.3">
      <c r="A1" s="125" t="s">
        <v>225</v>
      </c>
      <c r="B1" s="126"/>
    </row>
    <row r="2" spans="1:4" ht="18.75" thickBot="1" x14ac:dyDescent="0.3">
      <c r="A2" s="127" t="s">
        <v>226</v>
      </c>
      <c r="B2" s="128" t="s">
        <v>227</v>
      </c>
    </row>
    <row r="3" spans="1:4" ht="18.75" thickBot="1" x14ac:dyDescent="0.3">
      <c r="A3" s="127" t="s">
        <v>228</v>
      </c>
      <c r="B3" s="129"/>
      <c r="C3" s="130"/>
    </row>
    <row r="4" spans="1:4" ht="18.75" thickBot="1" x14ac:dyDescent="0.3">
      <c r="A4" s="127" t="s">
        <v>229</v>
      </c>
      <c r="B4" s="129"/>
      <c r="C4" s="130"/>
    </row>
    <row r="5" spans="1:4" ht="18.75" thickBot="1" x14ac:dyDescent="0.3">
      <c r="A5" s="127" t="s">
        <v>248</v>
      </c>
      <c r="B5" s="129"/>
      <c r="C5" s="135"/>
    </row>
    <row r="6" spans="1:4" ht="18.75" thickBot="1" x14ac:dyDescent="0.3">
      <c r="A6" s="131" t="s">
        <v>249</v>
      </c>
      <c r="B6" s="132"/>
      <c r="D6" s="147"/>
    </row>
    <row r="7" spans="1:4" ht="18.75" thickBot="1" x14ac:dyDescent="0.3">
      <c r="A7" s="131" t="s">
        <v>230</v>
      </c>
      <c r="B7" s="132"/>
    </row>
    <row r="12" spans="1:4" x14ac:dyDescent="0.25">
      <c r="B12" s="123"/>
      <c r="C12" s="123"/>
    </row>
    <row r="13" spans="1:4" x14ac:dyDescent="0.25">
      <c r="B13" s="123"/>
      <c r="C13" s="133"/>
    </row>
    <row r="14" spans="1:4" x14ac:dyDescent="0.25">
      <c r="B14" s="123"/>
      <c r="C14" s="123"/>
    </row>
    <row r="15" spans="1:4" x14ac:dyDescent="0.25">
      <c r="B15" s="123"/>
      <c r="C15" s="123"/>
    </row>
    <row r="16" spans="1:4" x14ac:dyDescent="0.25">
      <c r="B16" s="123"/>
      <c r="C16" s="133"/>
    </row>
    <row r="17" spans="2:3" x14ac:dyDescent="0.25">
      <c r="B17" s="123"/>
      <c r="C17" s="123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A67F4-5FF1-4420-B034-261FBD299F0C}">
  <dimension ref="A2:I19"/>
  <sheetViews>
    <sheetView zoomScaleNormal="100" workbookViewId="0">
      <selection activeCell="F11" sqref="F11"/>
    </sheetView>
  </sheetViews>
  <sheetFormatPr defaultRowHeight="15" x14ac:dyDescent="0.25"/>
  <cols>
    <col min="1" max="1" width="16.140625" bestFit="1" customWidth="1"/>
    <col min="2" max="5" width="11.140625" style="95" customWidth="1"/>
    <col min="6" max="6" width="16.28515625" bestFit="1" customWidth="1"/>
    <col min="8" max="8" width="9.42578125" customWidth="1"/>
    <col min="9" max="9" width="131" bestFit="1" customWidth="1"/>
  </cols>
  <sheetData>
    <row r="2" spans="1:9" x14ac:dyDescent="0.25">
      <c r="I2" t="s">
        <v>239</v>
      </c>
    </row>
    <row r="3" spans="1:9" ht="16.5" x14ac:dyDescent="0.3">
      <c r="A3" s="45" t="s">
        <v>231</v>
      </c>
      <c r="B3" s="50" t="s">
        <v>232</v>
      </c>
      <c r="C3" s="50" t="s">
        <v>233</v>
      </c>
      <c r="D3" s="50" t="s">
        <v>234</v>
      </c>
      <c r="E3" s="50" t="s">
        <v>235</v>
      </c>
      <c r="I3" s="138" t="s">
        <v>236</v>
      </c>
    </row>
    <row r="4" spans="1:9" ht="16.5" x14ac:dyDescent="0.3">
      <c r="A4" s="136">
        <v>0.37190972222222224</v>
      </c>
      <c r="B4" s="112"/>
      <c r="C4" s="112"/>
      <c r="D4" s="112"/>
      <c r="E4" s="137"/>
      <c r="I4" s="138" t="s">
        <v>237</v>
      </c>
    </row>
    <row r="5" spans="1:9" ht="16.5" x14ac:dyDescent="0.3">
      <c r="A5" s="136">
        <v>0.64155092592592589</v>
      </c>
      <c r="B5" s="112"/>
      <c r="C5" s="112"/>
      <c r="D5" s="112"/>
      <c r="E5" s="137"/>
      <c r="I5" s="138" t="s">
        <v>238</v>
      </c>
    </row>
    <row r="6" spans="1:9" ht="15.75" x14ac:dyDescent="0.25">
      <c r="A6" s="136">
        <v>0.70993055555555562</v>
      </c>
      <c r="B6" s="112"/>
      <c r="C6" s="112"/>
      <c r="D6" s="112"/>
      <c r="E6" s="137"/>
    </row>
    <row r="7" spans="1:9" ht="15.75" x14ac:dyDescent="0.25">
      <c r="A7" s="136">
        <v>0.3845601851851852</v>
      </c>
      <c r="B7" s="112"/>
      <c r="C7" s="112"/>
      <c r="D7" s="112"/>
      <c r="E7" s="137"/>
    </row>
    <row r="8" spans="1:9" ht="15.75" x14ac:dyDescent="0.25">
      <c r="A8" s="136">
        <v>0.99998842592592585</v>
      </c>
      <c r="B8" s="112"/>
      <c r="C8" s="112"/>
      <c r="D8" s="112"/>
      <c r="E8" s="137"/>
    </row>
    <row r="9" spans="1:9" ht="15.75" x14ac:dyDescent="0.25">
      <c r="A9" s="136">
        <v>0.85920138888888886</v>
      </c>
      <c r="B9" s="112"/>
      <c r="C9" s="112"/>
      <c r="D9" s="112"/>
      <c r="E9" s="137"/>
    </row>
    <row r="10" spans="1:9" ht="15.75" x14ac:dyDescent="0.25">
      <c r="A10" s="136">
        <v>9.7002314814814805E-2</v>
      </c>
      <c r="B10" s="112"/>
      <c r="C10" s="112"/>
      <c r="D10" s="112"/>
      <c r="E10" s="137"/>
    </row>
    <row r="11" spans="1:9" ht="15.75" x14ac:dyDescent="0.25">
      <c r="A11" s="136">
        <v>0.23263888888888887</v>
      </c>
      <c r="B11" s="112"/>
      <c r="C11" s="112"/>
      <c r="D11" s="112"/>
      <c r="E11" s="137"/>
    </row>
    <row r="12" spans="1:9" ht="15.75" x14ac:dyDescent="0.25">
      <c r="A12" s="136">
        <v>0.75011574074074072</v>
      </c>
      <c r="B12" s="112"/>
      <c r="C12" s="112"/>
      <c r="D12" s="112"/>
      <c r="E12" s="137"/>
    </row>
    <row r="16" spans="1:9" ht="15.75" x14ac:dyDescent="0.25">
      <c r="A16" s="45" t="s">
        <v>240</v>
      </c>
      <c r="B16" s="50" t="s">
        <v>232</v>
      </c>
      <c r="C16" s="50" t="s">
        <v>233</v>
      </c>
      <c r="D16" s="50" t="s">
        <v>234</v>
      </c>
      <c r="F16" s="134"/>
    </row>
    <row r="17" spans="1:8" x14ac:dyDescent="0.25">
      <c r="A17" s="130"/>
      <c r="F17" s="139"/>
      <c r="G17" s="140" t="s">
        <v>241</v>
      </c>
      <c r="H17" s="130"/>
    </row>
    <row r="18" spans="1:8" x14ac:dyDescent="0.25">
      <c r="F18" s="130"/>
    </row>
    <row r="19" spans="1:8" x14ac:dyDescent="0.25">
      <c r="F19" s="130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1° exercício Formataçao de text</vt:lpstr>
      <vt:lpstr>2°  Congelar linha </vt:lpstr>
      <vt:lpstr>3° Congelar coluna</vt:lpstr>
      <vt:lpstr>4° Funcoes Matematicas</vt:lpstr>
      <vt:lpstr>5° F.Valores</vt:lpstr>
      <vt:lpstr>6° % no Excel</vt:lpstr>
      <vt:lpstr>7° Relativas e Absolutas</vt:lpstr>
      <vt:lpstr>8° Data  </vt:lpstr>
      <vt:lpstr>9° Localizar</vt:lpstr>
      <vt:lpstr>10° MAIÚSCULA &amp; MINUSCULA</vt:lpstr>
      <vt:lpstr>11° Concatenar</vt:lpstr>
      <vt:lpstr>12°Agora</vt:lpstr>
      <vt:lpstr>13° Hora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Alves</dc:creator>
  <cp:lastModifiedBy>Sthefany Christine</cp:lastModifiedBy>
  <dcterms:created xsi:type="dcterms:W3CDTF">2024-07-02T23:00:28Z</dcterms:created>
  <dcterms:modified xsi:type="dcterms:W3CDTF">2026-03-16T18:15:23Z</dcterms:modified>
</cp:coreProperties>
</file>