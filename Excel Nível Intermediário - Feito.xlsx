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ypRosa\Documents\Projetos\Excel\"/>
    </mc:Choice>
  </mc:AlternateContent>
  <xr:revisionPtr revIDLastSave="0" documentId="13_ncr:1_{C3F00360-1A2D-4AB1-9A6E-2DC1BD7111DA}" xr6:coauthVersionLast="47" xr6:coauthVersionMax="47" xr10:uidLastSave="{00000000-0000-0000-0000-000000000000}"/>
  <bookViews>
    <workbookView xWindow="-120" yWindow="-120" windowWidth="20730" windowHeight="11040" xr2:uid="{C4C2A4FA-884B-4E69-90F6-8784FB487923}"/>
  </bookViews>
  <sheets>
    <sheet name="1.Data M" sheetId="2" r:id="rId1"/>
    <sheet name="2. ESQ,Direita" sheetId="3" r:id="rId2"/>
    <sheet name="3. Procv" sheetId="4" r:id="rId3"/>
    <sheet name="4. procv2" sheetId="5" r:id="rId4"/>
    <sheet name="5.proch" sheetId="6" r:id="rId5"/>
    <sheet name="6.proch2" sheetId="7" r:id="rId6"/>
    <sheet name="7. Procv ,Proch x ProcX" sheetId="8" r:id="rId7"/>
    <sheet name="8. Cont.se soma.se" sheetId="9" r:id="rId8"/>
    <sheet name="9. Cont.ses soma.ses" sheetId="10" r:id="rId9"/>
  </sheets>
  <definedNames>
    <definedName name="_xlnm._FilterDatabase" localSheetId="4" hidden="1">'5.proch'!$D$11:$F$16</definedName>
    <definedName name="_xlnm._FilterDatabase" localSheetId="5" hidden="1">'6.proch2'!$B$12:$C$17</definedName>
    <definedName name="_xlnm._FilterDatabase" localSheetId="7" hidden="1">'8. Cont.se soma.se'!$A$1:$E$20</definedName>
    <definedName name="_xlnm._FilterDatabase" localSheetId="8" hidden="1">'9. Cont.ses soma.ses'!$A$1:$F$20</definedName>
    <definedName name="Cotações">#REF!</definedName>
    <definedName name="Valores">'5.proch'!$C$5:$F$9</definedName>
    <definedName name="Z_15420BEE_D5D7_4ED4_9BAB_18A5F2EF42EB_.wvu.FilterData" localSheetId="7" hidden="1">'8. Cont.se soma.se'!$A$1:$E$20</definedName>
    <definedName name="Z_15420BEE_D5D7_4ED4_9BAB_18A5F2EF42EB_.wvu.FilterData" localSheetId="8" hidden="1">'9. Cont.ses soma.ses'!$A$1:$F$20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0" l="1"/>
  <c r="J7" i="10"/>
  <c r="H15" i="9"/>
  <c r="H7" i="9"/>
  <c r="P18" i="8"/>
  <c r="P17" i="8"/>
  <c r="P16" i="8"/>
  <c r="P15" i="8"/>
  <c r="P14" i="8"/>
  <c r="M9" i="8"/>
  <c r="M8" i="8"/>
  <c r="M7" i="8"/>
  <c r="M6" i="8"/>
  <c r="C17" i="7"/>
  <c r="C16" i="7"/>
  <c r="C15" i="7"/>
  <c r="C14" i="7"/>
  <c r="C13" i="7"/>
  <c r="F16" i="6"/>
  <c r="F15" i="6"/>
  <c r="F14" i="6"/>
  <c r="F13" i="6"/>
  <c r="H16" i="5"/>
  <c r="H17" i="5"/>
  <c r="H18" i="5"/>
  <c r="H19" i="5"/>
  <c r="H20" i="5"/>
  <c r="H21" i="5"/>
  <c r="H22" i="5"/>
  <c r="H23" i="5"/>
  <c r="H24" i="5"/>
  <c r="H25" i="5"/>
  <c r="G16" i="5"/>
  <c r="G17" i="5"/>
  <c r="G18" i="5"/>
  <c r="G19" i="5"/>
  <c r="G20" i="5"/>
  <c r="G21" i="5"/>
  <c r="G22" i="5"/>
  <c r="G23" i="5"/>
  <c r="G24" i="5"/>
  <c r="G25" i="5"/>
  <c r="F16" i="5"/>
  <c r="F17" i="5"/>
  <c r="F18" i="5"/>
  <c r="F19" i="5"/>
  <c r="F20" i="5"/>
  <c r="F21" i="5"/>
  <c r="F22" i="5"/>
  <c r="F23" i="5"/>
  <c r="F24" i="5"/>
  <c r="F25" i="5"/>
  <c r="E16" i="5"/>
  <c r="E17" i="5"/>
  <c r="E18" i="5"/>
  <c r="E19" i="5"/>
  <c r="E20" i="5"/>
  <c r="E21" i="5"/>
  <c r="E22" i="5"/>
  <c r="E23" i="5"/>
  <c r="E24" i="5"/>
  <c r="E25" i="5"/>
  <c r="D16" i="5"/>
  <c r="D17" i="5"/>
  <c r="D18" i="5"/>
  <c r="D19" i="5"/>
  <c r="D20" i="5"/>
  <c r="D21" i="5"/>
  <c r="D22" i="5"/>
  <c r="D23" i="5"/>
  <c r="D24" i="5"/>
  <c r="D25" i="5"/>
  <c r="C16" i="5"/>
  <c r="C17" i="5"/>
  <c r="C18" i="5"/>
  <c r="C19" i="5"/>
  <c r="C20" i="5"/>
  <c r="C21" i="5"/>
  <c r="C22" i="5"/>
  <c r="C23" i="5"/>
  <c r="C24" i="5"/>
  <c r="C25" i="5"/>
  <c r="H15" i="5"/>
  <c r="G15" i="5"/>
  <c r="F15" i="5"/>
  <c r="E15" i="5"/>
  <c r="D15" i="5"/>
  <c r="C15" i="5"/>
  <c r="B16" i="5"/>
  <c r="B17" i="5"/>
  <c r="B18" i="5"/>
  <c r="B19" i="5"/>
  <c r="B20" i="5"/>
  <c r="B21" i="5"/>
  <c r="B22" i="5"/>
  <c r="B23" i="5"/>
  <c r="B24" i="5"/>
  <c r="B25" i="5"/>
  <c r="B15" i="5"/>
  <c r="M11" i="4"/>
  <c r="M10" i="4"/>
  <c r="M9" i="4"/>
  <c r="M8" i="4"/>
  <c r="C13" i="3"/>
  <c r="C14" i="3"/>
  <c r="C12" i="3"/>
  <c r="C7" i="3"/>
  <c r="C8" i="3"/>
  <c r="C6" i="3"/>
  <c r="D2" i="3"/>
  <c r="C2" i="3"/>
  <c r="B2" i="3"/>
  <c r="D13" i="2"/>
  <c r="D14" i="2"/>
  <c r="D15" i="2"/>
  <c r="D16" i="2"/>
  <c r="D17" i="2"/>
  <c r="D18" i="2"/>
  <c r="D19" i="2"/>
  <c r="D12" i="2"/>
  <c r="D3" i="2"/>
  <c r="D4" i="2"/>
  <c r="D5" i="2"/>
  <c r="D6" i="2"/>
  <c r="D7" i="2"/>
  <c r="D8" i="2"/>
  <c r="D9" i="2"/>
  <c r="D2" i="2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</calcChain>
</file>

<file path=xl/sharedStrings.xml><?xml version="1.0" encoding="utf-8"?>
<sst xmlns="http://schemas.openxmlformats.org/spreadsheetml/2006/main" count="451" uniqueCount="143">
  <si>
    <t xml:space="preserve">Pedido </t>
  </si>
  <si>
    <t xml:space="preserve">Data compra </t>
  </si>
  <si>
    <t>Prazo / mês</t>
  </si>
  <si>
    <t>Data do pagamento</t>
  </si>
  <si>
    <t>Pagamentos posteriores</t>
  </si>
  <si>
    <t>Negativos ( pagamentos antecipados)</t>
  </si>
  <si>
    <t xml:space="preserve">Data entrega </t>
  </si>
  <si>
    <t>CEP</t>
  </si>
  <si>
    <t>Endereço</t>
  </si>
  <si>
    <t>caracteres</t>
  </si>
  <si>
    <t>Praça Leoni Ramos, 1 – São Domingos, Niterói – RJ, 24210-205</t>
  </si>
  <si>
    <t xml:space="preserve">Nome </t>
  </si>
  <si>
    <t>EXT.TEXTO</t>
  </si>
  <si>
    <t>01-MARCOS HENRIQUE</t>
  </si>
  <si>
    <t>02-LUIZ SILVA</t>
  </si>
  <si>
    <t>04-LUCAS DA SILVA</t>
  </si>
  <si>
    <t>Caracter</t>
  </si>
  <si>
    <t>REPT</t>
  </si>
  <si>
    <t>N</t>
  </si>
  <si>
    <t>*</t>
  </si>
  <si>
    <t>RODA</t>
  </si>
  <si>
    <t>Id</t>
  </si>
  <si>
    <t>Tabela de Venda de Veículos</t>
  </si>
  <si>
    <t>Placa do Veículo</t>
  </si>
  <si>
    <t>Marca</t>
  </si>
  <si>
    <t>Veículo</t>
  </si>
  <si>
    <t>Ano</t>
  </si>
  <si>
    <t>Cor</t>
  </si>
  <si>
    <t>KM</t>
  </si>
  <si>
    <t>Valor</t>
  </si>
  <si>
    <t>Câmbio</t>
  </si>
  <si>
    <t>FAD0104</t>
  </si>
  <si>
    <t>Chevrolet</t>
  </si>
  <si>
    <t>Vectra GL 2.0 MPFi</t>
  </si>
  <si>
    <t>Azul</t>
  </si>
  <si>
    <t>Manual</t>
  </si>
  <si>
    <t>Consulta Veículos</t>
  </si>
  <si>
    <t>BGT3418</t>
  </si>
  <si>
    <t>Astra Hatch CD 2.0 8V</t>
  </si>
  <si>
    <t>Prata</t>
  </si>
  <si>
    <t>HLL9845</t>
  </si>
  <si>
    <t>Renault</t>
  </si>
  <si>
    <t>Clio Sedan Privilége 1.0 16V</t>
  </si>
  <si>
    <t>Bege</t>
  </si>
  <si>
    <t>MPQ0041</t>
  </si>
  <si>
    <t>AZT5672</t>
  </si>
  <si>
    <t>Volkswagen</t>
  </si>
  <si>
    <t>Gol 1.0 (G4)</t>
  </si>
  <si>
    <t>Preto</t>
  </si>
  <si>
    <t>Ford</t>
  </si>
  <si>
    <t>Fiesta Hatch 1.6</t>
  </si>
  <si>
    <t>TYU9056</t>
  </si>
  <si>
    <t>Fiat</t>
  </si>
  <si>
    <t>Palio EX 1.0 8V Fire</t>
  </si>
  <si>
    <t>Cinza</t>
  </si>
  <si>
    <t>JKU7713</t>
  </si>
  <si>
    <t>Toyota</t>
  </si>
  <si>
    <t>Corolla Sedan Xei 1.8 16V</t>
  </si>
  <si>
    <t>Verde</t>
  </si>
  <si>
    <t>Automático</t>
  </si>
  <si>
    <t>RFB8405</t>
  </si>
  <si>
    <t>Peugeot</t>
  </si>
  <si>
    <t>207 Hatch XS 1.6 16V</t>
  </si>
  <si>
    <t>Vinho</t>
  </si>
  <si>
    <t>BBK5522</t>
  </si>
  <si>
    <t>Honda</t>
  </si>
  <si>
    <t>Civic Sedan EX 1.7 16V</t>
  </si>
  <si>
    <t>DER6530</t>
  </si>
  <si>
    <t>Linea 1.8 16V Essence Dualogic</t>
  </si>
  <si>
    <t>valor_procurado:é o valor que deve ser localizado na  coluna da tabela.</t>
  </si>
  <si>
    <t>CAX4050</t>
  </si>
  <si>
    <t>Hyundai</t>
  </si>
  <si>
    <t>Tucson GLS 2.0 16V</t>
  </si>
  <si>
    <t>Branco</t>
  </si>
  <si>
    <t xml:space="preserve">matriz_tabela: Toda a tabela onde irá procurar os dados </t>
  </si>
  <si>
    <t>núm_indice_coluna: corresponde ao número da coluna da tabela</t>
  </si>
  <si>
    <t>procurar_intervalo: VERDADEIRO ou FALSO. Se você colocar FALSO= valor exato se  VERDADEIRO=valor aproximado.</t>
  </si>
  <si>
    <t>Valores de Planos de Saúde</t>
  </si>
  <si>
    <t>Planos</t>
  </si>
  <si>
    <t>A</t>
  </si>
  <si>
    <t>B</t>
  </si>
  <si>
    <t>C</t>
  </si>
  <si>
    <t>D</t>
  </si>
  <si>
    <t>Básico</t>
  </si>
  <si>
    <t>Clássico</t>
  </si>
  <si>
    <t>Especial</t>
  </si>
  <si>
    <t>Executivo</t>
  </si>
  <si>
    <t>Consulta de Valores</t>
  </si>
  <si>
    <t>Plano escolhido</t>
  </si>
  <si>
    <t>Valores</t>
  </si>
  <si>
    <t>Brasil - Região Sudeste - 2015</t>
  </si>
  <si>
    <t>São Paulo</t>
  </si>
  <si>
    <t>Rio de Janeiro</t>
  </si>
  <si>
    <t>Minas Gerais</t>
  </si>
  <si>
    <t>Espírito Santo</t>
  </si>
  <si>
    <t>Capital</t>
  </si>
  <si>
    <t>Belo Horizonte</t>
  </si>
  <si>
    <t>Vitória</t>
  </si>
  <si>
    <t>Governador</t>
  </si>
  <si>
    <t>Geraldo Alckmin</t>
  </si>
  <si>
    <t>Luiz Fernando Pezão</t>
  </si>
  <si>
    <t>Fernando Pimentel</t>
  </si>
  <si>
    <t>Paulo Hartung</t>
  </si>
  <si>
    <t>Área Total (km²)</t>
  </si>
  <si>
    <t>Sede do Governo</t>
  </si>
  <si>
    <t>Palácio dos Bandeirantes</t>
  </si>
  <si>
    <t>Palácio Guanabara</t>
  </si>
  <si>
    <t>Palácio Tiradentes</t>
  </si>
  <si>
    <t>Palácio Anchieta</t>
  </si>
  <si>
    <t>Sede da Assembleia Legislativa</t>
  </si>
  <si>
    <t>Palácio 9 de Julho</t>
  </si>
  <si>
    <t>Palácio da Inconfidência</t>
  </si>
  <si>
    <t>Enseada do Suá</t>
  </si>
  <si>
    <t>Consultar Estados</t>
  </si>
  <si>
    <t>Informe o Estado desejado</t>
  </si>
  <si>
    <t>Data</t>
  </si>
  <si>
    <t>Produto</t>
  </si>
  <si>
    <t>Unidades</t>
  </si>
  <si>
    <t>Preço</t>
  </si>
  <si>
    <t>Total venda*</t>
  </si>
  <si>
    <t>Cadeira</t>
  </si>
  <si>
    <t>Mesa</t>
  </si>
  <si>
    <t>Cont.se</t>
  </si>
  <si>
    <t>Sofá</t>
  </si>
  <si>
    <t>Escrivaninha</t>
  </si>
  <si>
    <t>Soma.se</t>
  </si>
  <si>
    <t>Região</t>
  </si>
  <si>
    <t>Sul</t>
  </si>
  <si>
    <t>nordeste</t>
  </si>
  <si>
    <t>sudeste</t>
  </si>
  <si>
    <t>centro oeste</t>
  </si>
  <si>
    <t>Norte</t>
  </si>
  <si>
    <t>Nordeste</t>
  </si>
  <si>
    <t>Cont.ses</t>
  </si>
  <si>
    <t>Sudeste</t>
  </si>
  <si>
    <t>c1</t>
  </si>
  <si>
    <t>c2</t>
  </si>
  <si>
    <t>resultado</t>
  </si>
  <si>
    <t>Centro-Oeste</t>
  </si>
  <si>
    <t>Soma.ses</t>
  </si>
  <si>
    <t>FAD010</t>
  </si>
  <si>
    <t>U7713</t>
  </si>
  <si>
    <t>PROCV + SE 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</si>
</sst>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#,##0.000"/>
    <numFmt numFmtId="166" formatCode="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02124"/>
      <name val="Arial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/>
    <xf numFmtId="1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44" fontId="8" fillId="0" borderId="1" xfId="2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6" fillId="4" borderId="0" xfId="2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44" fontId="6" fillId="4" borderId="8" xfId="2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44" fontId="6" fillId="0" borderId="1" xfId="2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8" xfId="1" applyNumberFormat="1" applyFont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6" borderId="5" xfId="0" applyFont="1" applyFill="1" applyBorder="1" applyAlignment="1">
      <alignment horizontal="right" vertical="center"/>
    </xf>
    <xf numFmtId="0" fontId="14" fillId="0" borderId="12" xfId="0" applyFon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4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0" fillId="0" borderId="23" xfId="2" applyFont="1" applyBorder="1" applyAlignment="1">
      <alignment horizontal="center" vertical="center"/>
    </xf>
    <xf numFmtId="44" fontId="0" fillId="0" borderId="23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4" fontId="6" fillId="0" borderId="22" xfId="2" applyFont="1" applyBorder="1" applyAlignment="1">
      <alignment horizontal="center"/>
    </xf>
    <xf numFmtId="0" fontId="6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 applyAlignment="1">
      <alignment vertical="center"/>
    </xf>
    <xf numFmtId="44" fontId="0" fillId="0" borderId="20" xfId="2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166" fontId="0" fillId="0" borderId="1" xfId="0" applyNumberFormat="1" applyBorder="1"/>
    <xf numFmtId="4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4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0" borderId="2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right" vertical="center" textRotation="90"/>
    </xf>
    <xf numFmtId="42" fontId="6" fillId="4" borderId="1" xfId="0" applyNumberFormat="1" applyFont="1" applyFill="1" applyBorder="1" applyAlignment="1">
      <alignment horizontal="right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3B9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27CA-CB97-40E1-9332-42B0C278FAD1}">
  <dimension ref="A1:K19"/>
  <sheetViews>
    <sheetView showGridLines="0" tabSelected="1" zoomScale="110" zoomScaleNormal="110" workbookViewId="0">
      <selection activeCell="E12" sqref="E12"/>
    </sheetView>
  </sheetViews>
  <sheetFormatPr defaultRowHeight="15" x14ac:dyDescent="0.25"/>
  <cols>
    <col min="1" max="1" width="7.7109375" bestFit="1" customWidth="1"/>
    <col min="2" max="2" width="12.85546875" style="6" bestFit="1" customWidth="1"/>
    <col min="3" max="3" width="12.42578125" style="7" bestFit="1" customWidth="1"/>
    <col min="4" max="4" width="18.5703125" style="6" bestFit="1" customWidth="1"/>
    <col min="5" max="5" width="18.42578125" style="7" bestFit="1" customWidth="1"/>
    <col min="11" max="11" width="10.7109375" bestFit="1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2" t="s">
        <v>3</v>
      </c>
      <c r="E1"/>
      <c r="F1" t="s">
        <v>4</v>
      </c>
    </row>
    <row r="2" spans="1:11" x14ac:dyDescent="0.25">
      <c r="A2" s="1">
        <v>45</v>
      </c>
      <c r="B2" s="2">
        <v>45097</v>
      </c>
      <c r="C2" s="3">
        <v>3</v>
      </c>
      <c r="D2" s="2">
        <f>EDATE(B2,C2)</f>
        <v>45189</v>
      </c>
      <c r="E2"/>
    </row>
    <row r="3" spans="1:11" x14ac:dyDescent="0.25">
      <c r="A3" s="1">
        <v>7456</v>
      </c>
      <c r="B3" s="5">
        <v>45096</v>
      </c>
      <c r="C3" s="3">
        <v>3</v>
      </c>
      <c r="D3" s="2">
        <f t="shared" ref="D3:D9" si="0">EDATE(B3,C3)</f>
        <v>45188</v>
      </c>
      <c r="E3"/>
    </row>
    <row r="4" spans="1:11" x14ac:dyDescent="0.25">
      <c r="A4" s="1">
        <v>456</v>
      </c>
      <c r="B4" s="5">
        <v>45102</v>
      </c>
      <c r="C4" s="3">
        <v>5</v>
      </c>
      <c r="D4" s="2">
        <f t="shared" si="0"/>
        <v>45255</v>
      </c>
      <c r="E4"/>
    </row>
    <row r="5" spans="1:11" x14ac:dyDescent="0.25">
      <c r="A5" s="1">
        <v>46</v>
      </c>
      <c r="B5" s="5">
        <v>45102</v>
      </c>
      <c r="C5" s="3">
        <v>3</v>
      </c>
      <c r="D5" s="2">
        <f t="shared" si="0"/>
        <v>45194</v>
      </c>
      <c r="E5"/>
      <c r="K5" s="4"/>
    </row>
    <row r="6" spans="1:11" x14ac:dyDescent="0.25">
      <c r="A6" s="1">
        <v>44534</v>
      </c>
      <c r="B6" s="5">
        <v>45097</v>
      </c>
      <c r="C6" s="3">
        <v>10</v>
      </c>
      <c r="D6" s="2">
        <f t="shared" si="0"/>
        <v>45402</v>
      </c>
      <c r="E6"/>
    </row>
    <row r="7" spans="1:11" x14ac:dyDescent="0.25">
      <c r="A7" s="1">
        <v>345235</v>
      </c>
      <c r="B7" s="5">
        <v>45098</v>
      </c>
      <c r="C7" s="3">
        <v>3</v>
      </c>
      <c r="D7" s="2">
        <f t="shared" si="0"/>
        <v>45190</v>
      </c>
      <c r="E7"/>
    </row>
    <row r="8" spans="1:11" x14ac:dyDescent="0.25">
      <c r="A8" s="1">
        <v>234</v>
      </c>
      <c r="B8" s="5">
        <v>45103</v>
      </c>
      <c r="C8" s="3">
        <v>3</v>
      </c>
      <c r="D8" s="2">
        <f t="shared" si="0"/>
        <v>45195</v>
      </c>
      <c r="E8"/>
    </row>
    <row r="9" spans="1:11" x14ac:dyDescent="0.25">
      <c r="A9" s="1">
        <v>32</v>
      </c>
      <c r="B9" s="5">
        <v>45100</v>
      </c>
      <c r="C9" s="3">
        <v>3</v>
      </c>
      <c r="D9" s="2">
        <f t="shared" si="0"/>
        <v>45192</v>
      </c>
      <c r="E9"/>
    </row>
    <row r="10" spans="1:11" x14ac:dyDescent="0.25">
      <c r="A10" s="6"/>
      <c r="B10" s="7"/>
      <c r="C10" s="6"/>
      <c r="D10" s="7"/>
      <c r="E10"/>
    </row>
    <row r="11" spans="1:11" x14ac:dyDescent="0.25">
      <c r="A11" s="1" t="s">
        <v>0</v>
      </c>
      <c r="B11" s="2" t="s">
        <v>6</v>
      </c>
      <c r="C11" s="3" t="s">
        <v>2</v>
      </c>
      <c r="D11" s="2" t="s">
        <v>3</v>
      </c>
      <c r="E11"/>
      <c r="F11" t="s">
        <v>5</v>
      </c>
    </row>
    <row r="12" spans="1:11" x14ac:dyDescent="0.25">
      <c r="A12" s="1">
        <v>45</v>
      </c>
      <c r="B12" s="2">
        <v>45280</v>
      </c>
      <c r="C12" s="3">
        <v>3</v>
      </c>
      <c r="D12" s="2">
        <f>EDATE(B12,-C12)</f>
        <v>45189</v>
      </c>
      <c r="E12"/>
    </row>
    <row r="13" spans="1:11" x14ac:dyDescent="0.25">
      <c r="A13" s="1">
        <v>7456</v>
      </c>
      <c r="B13" s="2">
        <v>45128</v>
      </c>
      <c r="C13" s="3">
        <v>3</v>
      </c>
      <c r="D13" s="2">
        <f t="shared" ref="D13:D19" si="1">EDATE(B13,-C13)</f>
        <v>45037</v>
      </c>
      <c r="E13"/>
    </row>
    <row r="14" spans="1:11" x14ac:dyDescent="0.25">
      <c r="A14" s="1">
        <v>456</v>
      </c>
      <c r="B14" s="2">
        <v>45129</v>
      </c>
      <c r="C14" s="3">
        <v>5</v>
      </c>
      <c r="D14" s="2">
        <f t="shared" si="1"/>
        <v>44979</v>
      </c>
      <c r="E14"/>
    </row>
    <row r="15" spans="1:11" x14ac:dyDescent="0.25">
      <c r="A15" s="1">
        <v>46</v>
      </c>
      <c r="B15" s="2">
        <v>45130</v>
      </c>
      <c r="C15" s="3">
        <v>3</v>
      </c>
      <c r="D15" s="2">
        <f t="shared" si="1"/>
        <v>45039</v>
      </c>
      <c r="E15"/>
    </row>
    <row r="16" spans="1:11" x14ac:dyDescent="0.25">
      <c r="A16" s="1">
        <v>44534</v>
      </c>
      <c r="B16" s="2">
        <v>45131</v>
      </c>
      <c r="C16" s="3">
        <v>10</v>
      </c>
      <c r="D16" s="2">
        <f t="shared" si="1"/>
        <v>44828</v>
      </c>
      <c r="E16"/>
    </row>
    <row r="17" spans="1:5" x14ac:dyDescent="0.25">
      <c r="A17" s="1">
        <v>345235</v>
      </c>
      <c r="B17" s="2">
        <v>45132</v>
      </c>
      <c r="C17" s="3">
        <v>3</v>
      </c>
      <c r="D17" s="2">
        <f t="shared" si="1"/>
        <v>45041</v>
      </c>
      <c r="E17"/>
    </row>
    <row r="18" spans="1:5" x14ac:dyDescent="0.25">
      <c r="A18" s="1">
        <v>234</v>
      </c>
      <c r="B18" s="2">
        <v>45133</v>
      </c>
      <c r="C18" s="3">
        <v>3</v>
      </c>
      <c r="D18" s="2">
        <f t="shared" si="1"/>
        <v>45042</v>
      </c>
      <c r="E18"/>
    </row>
    <row r="19" spans="1:5" x14ac:dyDescent="0.25">
      <c r="A19" s="1">
        <v>32</v>
      </c>
      <c r="B19" s="2">
        <v>45134</v>
      </c>
      <c r="C19" s="3">
        <v>3</v>
      </c>
      <c r="D19" s="2">
        <f t="shared" si="1"/>
        <v>45043</v>
      </c>
      <c r="E1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9FC3-E925-4AD1-8EF8-A0F0C82E9FB4}">
  <dimension ref="A1:D14"/>
  <sheetViews>
    <sheetView showGridLines="0" zoomScale="120" zoomScaleNormal="120" workbookViewId="0">
      <selection activeCell="B9" sqref="B9"/>
    </sheetView>
  </sheetViews>
  <sheetFormatPr defaultRowHeight="15" x14ac:dyDescent="0.25"/>
  <cols>
    <col min="1" max="1" width="65.42578125" bestFit="1" customWidth="1"/>
    <col min="2" max="2" width="21.85546875" bestFit="1" customWidth="1"/>
    <col min="3" max="3" width="27.28515625" bestFit="1" customWidth="1"/>
    <col min="4" max="4" width="10" bestFit="1" customWidth="1"/>
  </cols>
  <sheetData>
    <row r="1" spans="1:4" x14ac:dyDescent="0.25">
      <c r="A1" s="8"/>
      <c r="B1" s="9" t="s">
        <v>7</v>
      </c>
      <c r="C1" s="9" t="s">
        <v>8</v>
      </c>
      <c r="D1" s="9" t="s">
        <v>9</v>
      </c>
    </row>
    <row r="2" spans="1:4" x14ac:dyDescent="0.25">
      <c r="A2" s="82" t="s">
        <v>10</v>
      </c>
      <c r="B2" s="81" t="str">
        <f>RIGHT(A2,9)</f>
        <v>24210-205</v>
      </c>
      <c r="C2" s="81" t="str">
        <f>LEFT(A2,17)</f>
        <v>Praça Leoni Ramos</v>
      </c>
      <c r="D2" s="8">
        <f>LEN(A2)</f>
        <v>60</v>
      </c>
    </row>
    <row r="5" spans="1:4" x14ac:dyDescent="0.25">
      <c r="B5" s="9" t="s">
        <v>11</v>
      </c>
      <c r="C5" s="9" t="s">
        <v>12</v>
      </c>
      <c r="D5" s="9" t="s">
        <v>21</v>
      </c>
    </row>
    <row r="6" spans="1:4" x14ac:dyDescent="0.25">
      <c r="B6" s="8" t="s">
        <v>13</v>
      </c>
      <c r="C6" s="8" t="str">
        <f>MID(B6,4,30)</f>
        <v>MARCOS HENRIQUE</v>
      </c>
      <c r="D6" s="83">
        <v>1</v>
      </c>
    </row>
    <row r="7" spans="1:4" x14ac:dyDescent="0.25">
      <c r="B7" s="8" t="s">
        <v>14</v>
      </c>
      <c r="C7" s="8" t="str">
        <f t="shared" ref="C7:C8" si="0">MID(B7,4,30)</f>
        <v>LUIZ SILVA</v>
      </c>
      <c r="D7" s="83">
        <v>2</v>
      </c>
    </row>
    <row r="8" spans="1:4" x14ac:dyDescent="0.25">
      <c r="B8" s="8" t="s">
        <v>15</v>
      </c>
      <c r="C8" s="8" t="str">
        <f t="shared" si="0"/>
        <v>LUCAS DA SILVA</v>
      </c>
      <c r="D8" s="83">
        <v>3</v>
      </c>
    </row>
    <row r="11" spans="1:4" x14ac:dyDescent="0.25">
      <c r="B11" s="9" t="s">
        <v>16</v>
      </c>
      <c r="C11" s="9" t="s">
        <v>17</v>
      </c>
    </row>
    <row r="12" spans="1:4" x14ac:dyDescent="0.25">
      <c r="B12" s="8" t="s">
        <v>18</v>
      </c>
      <c r="C12" s="8" t="str">
        <f>REPT(B12,5)</f>
        <v>NNNNN</v>
      </c>
    </row>
    <row r="13" spans="1:4" x14ac:dyDescent="0.25">
      <c r="B13" s="8" t="s">
        <v>19</v>
      </c>
      <c r="C13" s="8" t="str">
        <f t="shared" ref="C13:C14" si="1">REPT(B13,5)</f>
        <v>*****</v>
      </c>
    </row>
    <row r="14" spans="1:4" x14ac:dyDescent="0.25">
      <c r="B14" s="8" t="s">
        <v>20</v>
      </c>
      <c r="C14" s="8" t="str">
        <f t="shared" si="1"/>
        <v>RODARODARODARODARODA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F914-CE2D-49E7-8826-A1E17C1284FA}">
  <dimension ref="B2:M15"/>
  <sheetViews>
    <sheetView showGridLines="0" zoomScale="90" zoomScaleNormal="90" workbookViewId="0">
      <selection activeCell="M7" sqref="M7"/>
    </sheetView>
  </sheetViews>
  <sheetFormatPr defaultRowHeight="21" customHeight="1" x14ac:dyDescent="0.25"/>
  <cols>
    <col min="1" max="1" width="4.7109375" style="10" customWidth="1"/>
    <col min="2" max="2" width="13.5703125" style="10" bestFit="1" customWidth="1"/>
    <col min="3" max="3" width="10.28515625" style="10" bestFit="1" customWidth="1"/>
    <col min="4" max="4" width="26" style="10" bestFit="1" customWidth="1"/>
    <col min="5" max="6" width="6.5703125" style="10" bestFit="1" customWidth="1"/>
    <col min="7" max="7" width="8.5703125" style="10" bestFit="1" customWidth="1"/>
    <col min="8" max="8" width="12.42578125" style="10" bestFit="1" customWidth="1"/>
    <col min="9" max="9" width="10" style="10" bestFit="1" customWidth="1"/>
    <col min="10" max="11" width="6.42578125" style="10" customWidth="1"/>
    <col min="12" max="12" width="19.7109375" style="10" customWidth="1"/>
    <col min="13" max="13" width="32.7109375" style="10" customWidth="1"/>
    <col min="14" max="16384" width="9.140625" style="10"/>
  </cols>
  <sheetData>
    <row r="2" spans="2:13" ht="21" customHeight="1" x14ac:dyDescent="0.25">
      <c r="B2" s="92" t="s">
        <v>22</v>
      </c>
      <c r="C2" s="92"/>
      <c r="D2" s="92"/>
      <c r="E2" s="92"/>
      <c r="F2" s="92"/>
      <c r="G2" s="92"/>
      <c r="H2" s="92"/>
      <c r="I2" s="92"/>
    </row>
    <row r="4" spans="2:13" ht="21" customHeight="1" x14ac:dyDescent="0.25"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</row>
    <row r="5" spans="2:13" ht="21" customHeight="1" x14ac:dyDescent="0.25">
      <c r="B5" s="12" t="s">
        <v>31</v>
      </c>
      <c r="C5" s="12" t="s">
        <v>32</v>
      </c>
      <c r="D5" s="12" t="s">
        <v>33</v>
      </c>
      <c r="E5" s="13">
        <v>1998</v>
      </c>
      <c r="F5" s="12" t="s">
        <v>34</v>
      </c>
      <c r="G5" s="13">
        <v>130000</v>
      </c>
      <c r="H5" s="14">
        <v>12900</v>
      </c>
      <c r="I5" s="12" t="s">
        <v>35</v>
      </c>
      <c r="L5" s="93" t="s">
        <v>36</v>
      </c>
      <c r="M5" s="93"/>
    </row>
    <row r="6" spans="2:13" ht="21" customHeight="1" x14ac:dyDescent="0.25">
      <c r="B6" s="12" t="s">
        <v>37</v>
      </c>
      <c r="C6" s="12" t="s">
        <v>32</v>
      </c>
      <c r="D6" s="12" t="s">
        <v>38</v>
      </c>
      <c r="E6" s="13">
        <v>2002</v>
      </c>
      <c r="F6" s="12" t="s">
        <v>39</v>
      </c>
      <c r="G6" s="13">
        <v>11000</v>
      </c>
      <c r="H6" s="14">
        <v>16900</v>
      </c>
      <c r="I6" s="12" t="s">
        <v>35</v>
      </c>
      <c r="L6" s="94"/>
      <c r="M6" s="94"/>
    </row>
    <row r="7" spans="2:13" ht="21" customHeight="1" x14ac:dyDescent="0.25">
      <c r="B7" s="12" t="s">
        <v>40</v>
      </c>
      <c r="C7" s="12" t="s">
        <v>41</v>
      </c>
      <c r="D7" s="12" t="s">
        <v>42</v>
      </c>
      <c r="E7" s="13">
        <v>2007</v>
      </c>
      <c r="F7" s="12" t="s">
        <v>43</v>
      </c>
      <c r="G7" s="13">
        <v>90800</v>
      </c>
      <c r="H7" s="14">
        <v>17900</v>
      </c>
      <c r="I7" s="12" t="s">
        <v>35</v>
      </c>
      <c r="L7" s="15" t="s">
        <v>23</v>
      </c>
      <c r="M7" s="16" t="s">
        <v>51</v>
      </c>
    </row>
    <row r="8" spans="2:13" ht="21" customHeight="1" x14ac:dyDescent="0.25">
      <c r="B8" s="12" t="s">
        <v>45</v>
      </c>
      <c r="C8" s="12" t="s">
        <v>46</v>
      </c>
      <c r="D8" s="12" t="s">
        <v>47</v>
      </c>
      <c r="E8" s="13">
        <v>2009</v>
      </c>
      <c r="F8" s="12" t="s">
        <v>48</v>
      </c>
      <c r="G8" s="13">
        <v>98600</v>
      </c>
      <c r="H8" s="14">
        <v>18900</v>
      </c>
      <c r="I8" s="12" t="s">
        <v>35</v>
      </c>
      <c r="L8" s="17" t="s">
        <v>25</v>
      </c>
      <c r="M8" s="85" t="str">
        <f>VLOOKUP(M7,$B$4:$I$15,3,FALSE)</f>
        <v>Palio EX 1.0 8V Fire</v>
      </c>
    </row>
    <row r="9" spans="2:13" ht="21" customHeight="1" x14ac:dyDescent="0.25">
      <c r="B9" s="12" t="s">
        <v>44</v>
      </c>
      <c r="C9" s="12" t="s">
        <v>49</v>
      </c>
      <c r="D9" s="12" t="s">
        <v>50</v>
      </c>
      <c r="E9" s="13">
        <v>2007</v>
      </c>
      <c r="F9" s="12" t="s">
        <v>39</v>
      </c>
      <c r="G9" s="13">
        <v>80000</v>
      </c>
      <c r="H9" s="14">
        <v>19900</v>
      </c>
      <c r="I9" s="12" t="s">
        <v>35</v>
      </c>
      <c r="L9" s="17" t="s">
        <v>26</v>
      </c>
      <c r="M9" s="85">
        <f>VLOOKUP(M7,$B$4:$I$15,4,FALSE)</f>
        <v>2000</v>
      </c>
    </row>
    <row r="10" spans="2:13" ht="21" customHeight="1" x14ac:dyDescent="0.25">
      <c r="B10" s="12" t="s">
        <v>51</v>
      </c>
      <c r="C10" s="12" t="s">
        <v>52</v>
      </c>
      <c r="D10" s="12" t="s">
        <v>53</v>
      </c>
      <c r="E10" s="13">
        <v>2000</v>
      </c>
      <c r="F10" s="12" t="s">
        <v>54</v>
      </c>
      <c r="G10" s="13">
        <v>125000</v>
      </c>
      <c r="H10" s="14">
        <v>9900</v>
      </c>
      <c r="I10" s="12" t="s">
        <v>35</v>
      </c>
      <c r="L10" s="17" t="s">
        <v>27</v>
      </c>
      <c r="M10" s="85" t="str">
        <f>VLOOKUP(M7,$B$4:$I$15,5,FALSE)</f>
        <v>Cinza</v>
      </c>
    </row>
    <row r="11" spans="2:13" ht="21" customHeight="1" x14ac:dyDescent="0.25">
      <c r="B11" s="12" t="s">
        <v>55</v>
      </c>
      <c r="C11" s="12" t="s">
        <v>56</v>
      </c>
      <c r="D11" s="12" t="s">
        <v>57</v>
      </c>
      <c r="E11" s="13">
        <v>2000</v>
      </c>
      <c r="F11" s="12" t="s">
        <v>58</v>
      </c>
      <c r="G11" s="13">
        <v>147000</v>
      </c>
      <c r="H11" s="14">
        <v>17800</v>
      </c>
      <c r="I11" s="12" t="s">
        <v>59</v>
      </c>
      <c r="L11" s="17" t="s">
        <v>29</v>
      </c>
      <c r="M11" s="84">
        <f>VLOOKUP(M7,$B$4:$I$15,7,FALSE)</f>
        <v>9900</v>
      </c>
    </row>
    <row r="12" spans="2:13" ht="21" customHeight="1" x14ac:dyDescent="0.25">
      <c r="B12" s="12" t="s">
        <v>60</v>
      </c>
      <c r="C12" s="12" t="s">
        <v>61</v>
      </c>
      <c r="D12" s="12" t="s">
        <v>62</v>
      </c>
      <c r="E12" s="13">
        <v>2009</v>
      </c>
      <c r="F12" s="12" t="s">
        <v>63</v>
      </c>
      <c r="G12" s="13">
        <v>92000</v>
      </c>
      <c r="H12" s="14">
        <v>21900</v>
      </c>
      <c r="I12" s="12" t="s">
        <v>59</v>
      </c>
    </row>
    <row r="13" spans="2:13" ht="21" customHeight="1" x14ac:dyDescent="0.25">
      <c r="B13" s="12" t="s">
        <v>64</v>
      </c>
      <c r="C13" s="12" t="s">
        <v>65</v>
      </c>
      <c r="D13" s="12" t="s">
        <v>66</v>
      </c>
      <c r="E13" s="13">
        <v>2004</v>
      </c>
      <c r="F13" s="12" t="s">
        <v>54</v>
      </c>
      <c r="G13" s="13">
        <v>102420</v>
      </c>
      <c r="H13" s="14">
        <v>24980</v>
      </c>
      <c r="I13" s="12" t="s">
        <v>59</v>
      </c>
    </row>
    <row r="14" spans="2:13" ht="21" customHeight="1" x14ac:dyDescent="0.25">
      <c r="B14" s="12" t="s">
        <v>67</v>
      </c>
      <c r="C14" s="12" t="s">
        <v>52</v>
      </c>
      <c r="D14" s="12" t="s">
        <v>68</v>
      </c>
      <c r="E14" s="13">
        <v>2012</v>
      </c>
      <c r="F14" s="12" t="s">
        <v>39</v>
      </c>
      <c r="G14" s="13">
        <v>48075</v>
      </c>
      <c r="H14" s="14">
        <v>32990</v>
      </c>
      <c r="I14" s="12" t="s">
        <v>59</v>
      </c>
    </row>
    <row r="15" spans="2:13" ht="21" customHeight="1" x14ac:dyDescent="0.25">
      <c r="B15" s="12" t="s">
        <v>70</v>
      </c>
      <c r="C15" s="12" t="s">
        <v>71</v>
      </c>
      <c r="D15" s="12" t="s">
        <v>72</v>
      </c>
      <c r="E15" s="13">
        <v>2013</v>
      </c>
      <c r="F15" s="12" t="s">
        <v>73</v>
      </c>
      <c r="G15" s="13">
        <v>28784</v>
      </c>
      <c r="H15" s="14">
        <v>55190</v>
      </c>
      <c r="I15" s="12" t="s">
        <v>59</v>
      </c>
    </row>
  </sheetData>
  <mergeCells count="2">
    <mergeCell ref="B2:I2"/>
    <mergeCell ref="L5:M6"/>
  </mergeCells>
  <dataValidations count="1">
    <dataValidation type="list" allowBlank="1" showInputMessage="1" sqref="M7" xr:uid="{91B45AE9-4CC0-4B21-B92B-5224503137D2}">
      <formula1>$B$5:$B$15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BD3-8488-4275-8CE4-96FC52CD8AD8}">
  <dimension ref="A1:H27"/>
  <sheetViews>
    <sheetView topLeftCell="A13" zoomScale="140" zoomScaleNormal="140" workbookViewId="0">
      <selection activeCell="D27" sqref="D27"/>
    </sheetView>
  </sheetViews>
  <sheetFormatPr defaultRowHeight="15" x14ac:dyDescent="0.25"/>
  <cols>
    <col min="1" max="1" width="13.5703125" bestFit="1" customWidth="1"/>
    <col min="2" max="2" width="13.7109375" bestFit="1" customWidth="1"/>
    <col min="3" max="3" width="26" bestFit="1" customWidth="1"/>
    <col min="4" max="5" width="13.7109375" bestFit="1" customWidth="1"/>
    <col min="6" max="7" width="15" bestFit="1" customWidth="1"/>
    <col min="8" max="8" width="13.7109375" bestFit="1" customWidth="1"/>
  </cols>
  <sheetData>
    <row r="1" spans="1:8" x14ac:dyDescent="0.25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</row>
    <row r="2" spans="1:8" x14ac:dyDescent="0.25">
      <c r="A2" s="12" t="s">
        <v>31</v>
      </c>
      <c r="B2" s="12" t="s">
        <v>32</v>
      </c>
      <c r="C2" s="12" t="s">
        <v>33</v>
      </c>
      <c r="D2" s="88">
        <v>1998</v>
      </c>
      <c r="E2" s="12" t="s">
        <v>34</v>
      </c>
      <c r="F2" s="13">
        <v>130000</v>
      </c>
      <c r="G2" s="14">
        <v>12900</v>
      </c>
      <c r="H2" s="12" t="s">
        <v>35</v>
      </c>
    </row>
    <row r="3" spans="1:8" x14ac:dyDescent="0.25">
      <c r="A3" s="12" t="s">
        <v>37</v>
      </c>
      <c r="B3" s="12" t="s">
        <v>32</v>
      </c>
      <c r="C3" s="12" t="s">
        <v>38</v>
      </c>
      <c r="D3" s="88">
        <v>2002</v>
      </c>
      <c r="E3" s="12" t="s">
        <v>39</v>
      </c>
      <c r="F3" s="13">
        <v>11000</v>
      </c>
      <c r="G3" s="14">
        <v>16900</v>
      </c>
      <c r="H3" s="12" t="s">
        <v>35</v>
      </c>
    </row>
    <row r="4" spans="1:8" x14ac:dyDescent="0.25">
      <c r="A4" s="12" t="s">
        <v>40</v>
      </c>
      <c r="B4" s="12" t="s">
        <v>41</v>
      </c>
      <c r="C4" s="12" t="s">
        <v>42</v>
      </c>
      <c r="D4" s="88">
        <v>2007</v>
      </c>
      <c r="E4" s="12" t="s">
        <v>43</v>
      </c>
      <c r="F4" s="13">
        <v>90800</v>
      </c>
      <c r="G4" s="14">
        <v>17900</v>
      </c>
      <c r="H4" s="12" t="s">
        <v>35</v>
      </c>
    </row>
    <row r="5" spans="1:8" x14ac:dyDescent="0.25">
      <c r="A5" s="12" t="s">
        <v>45</v>
      </c>
      <c r="B5" s="12" t="s">
        <v>46</v>
      </c>
      <c r="C5" s="12" t="s">
        <v>47</v>
      </c>
      <c r="D5" s="88">
        <v>2009</v>
      </c>
      <c r="E5" s="12" t="s">
        <v>48</v>
      </c>
      <c r="F5" s="13">
        <v>98600</v>
      </c>
      <c r="G5" s="14">
        <v>18900</v>
      </c>
      <c r="H5" s="12" t="s">
        <v>35</v>
      </c>
    </row>
    <row r="6" spans="1:8" x14ac:dyDescent="0.25">
      <c r="A6" s="12" t="s">
        <v>44</v>
      </c>
      <c r="B6" s="12" t="s">
        <v>49</v>
      </c>
      <c r="C6" s="12" t="s">
        <v>50</v>
      </c>
      <c r="D6" s="88">
        <v>2007</v>
      </c>
      <c r="E6" s="12" t="s">
        <v>39</v>
      </c>
      <c r="F6" s="13">
        <v>80000</v>
      </c>
      <c r="G6" s="14">
        <v>19900</v>
      </c>
      <c r="H6" s="12" t="s">
        <v>35</v>
      </c>
    </row>
    <row r="7" spans="1:8" x14ac:dyDescent="0.25">
      <c r="A7" s="12" t="s">
        <v>51</v>
      </c>
      <c r="B7" s="12" t="s">
        <v>52</v>
      </c>
      <c r="C7" s="12" t="s">
        <v>53</v>
      </c>
      <c r="D7" s="88">
        <v>2000</v>
      </c>
      <c r="E7" s="12" t="s">
        <v>54</v>
      </c>
      <c r="F7" s="13">
        <v>125000</v>
      </c>
      <c r="G7" s="14">
        <v>9900</v>
      </c>
      <c r="H7" s="12" t="s">
        <v>35</v>
      </c>
    </row>
    <row r="8" spans="1:8" x14ac:dyDescent="0.25">
      <c r="A8" s="12" t="s">
        <v>55</v>
      </c>
      <c r="B8" s="12" t="s">
        <v>56</v>
      </c>
      <c r="C8" s="12" t="s">
        <v>57</v>
      </c>
      <c r="D8" s="88">
        <v>2000</v>
      </c>
      <c r="E8" s="12" t="s">
        <v>58</v>
      </c>
      <c r="F8" s="13">
        <v>147000</v>
      </c>
      <c r="G8" s="14">
        <v>17800</v>
      </c>
      <c r="H8" s="12" t="s">
        <v>59</v>
      </c>
    </row>
    <row r="9" spans="1:8" x14ac:dyDescent="0.25">
      <c r="A9" s="12" t="s">
        <v>60</v>
      </c>
      <c r="B9" s="12" t="s">
        <v>61</v>
      </c>
      <c r="C9" s="12" t="s">
        <v>62</v>
      </c>
      <c r="D9" s="88">
        <v>2009</v>
      </c>
      <c r="E9" s="12" t="s">
        <v>63</v>
      </c>
      <c r="F9" s="13">
        <v>92000</v>
      </c>
      <c r="G9" s="14">
        <v>21900</v>
      </c>
      <c r="H9" s="12" t="s">
        <v>59</v>
      </c>
    </row>
    <row r="10" spans="1:8" x14ac:dyDescent="0.25">
      <c r="A10" s="12" t="s">
        <v>64</v>
      </c>
      <c r="B10" s="12" t="s">
        <v>65</v>
      </c>
      <c r="C10" s="12" t="s">
        <v>66</v>
      </c>
      <c r="D10" s="88">
        <v>2004</v>
      </c>
      <c r="E10" s="12" t="s">
        <v>54</v>
      </c>
      <c r="F10" s="13">
        <v>102420</v>
      </c>
      <c r="G10" s="14">
        <v>24980</v>
      </c>
      <c r="H10" s="12" t="s">
        <v>59</v>
      </c>
    </row>
    <row r="11" spans="1:8" x14ac:dyDescent="0.25">
      <c r="A11" s="12" t="s">
        <v>67</v>
      </c>
      <c r="B11" s="12" t="s">
        <v>52</v>
      </c>
      <c r="C11" s="12" t="s">
        <v>68</v>
      </c>
      <c r="D11" s="88">
        <v>2012</v>
      </c>
      <c r="E11" s="12" t="s">
        <v>39</v>
      </c>
      <c r="F11" s="13">
        <v>48075</v>
      </c>
      <c r="G11" s="14">
        <v>32990</v>
      </c>
      <c r="H11" s="12" t="s">
        <v>59</v>
      </c>
    </row>
    <row r="12" spans="1:8" x14ac:dyDescent="0.25">
      <c r="A12" s="12" t="s">
        <v>70</v>
      </c>
      <c r="B12" s="12" t="s">
        <v>71</v>
      </c>
      <c r="C12" s="12" t="s">
        <v>72</v>
      </c>
      <c r="D12" s="88">
        <v>2013</v>
      </c>
      <c r="E12" s="12" t="s">
        <v>73</v>
      </c>
      <c r="F12" s="13">
        <v>28784</v>
      </c>
      <c r="G12" s="14">
        <v>55190</v>
      </c>
      <c r="H12" s="12" t="s">
        <v>59</v>
      </c>
    </row>
    <row r="14" spans="1:8" x14ac:dyDescent="0.25">
      <c r="A14" s="11" t="s">
        <v>23</v>
      </c>
      <c r="B14" s="11" t="s">
        <v>24</v>
      </c>
      <c r="C14" s="11" t="s">
        <v>25</v>
      </c>
      <c r="D14" s="11" t="s">
        <v>26</v>
      </c>
      <c r="E14" s="11" t="s">
        <v>27</v>
      </c>
      <c r="F14" s="11" t="s">
        <v>28</v>
      </c>
      <c r="G14" s="11" t="s">
        <v>29</v>
      </c>
      <c r="H14" s="11" t="s">
        <v>30</v>
      </c>
    </row>
    <row r="15" spans="1:8" x14ac:dyDescent="0.25">
      <c r="A15" s="12" t="s">
        <v>140</v>
      </c>
      <c r="B15" s="12" t="str">
        <f>IFERROR(VLOOKUP(A15,$A$1:$H$12,2,FALSE),"Não Encontrado")</f>
        <v>Não Encontrado</v>
      </c>
      <c r="C15" s="12" t="str">
        <f>IFERROR(VLOOKUP(A15,$A$1:$H$12,3,FALSE),"Não Encontrado")</f>
        <v>Não Encontrado</v>
      </c>
      <c r="D15" s="12" t="str">
        <f>IFERROR(VLOOKUP(A15,$A$1:$H$12,4,FALSE),"Não Encontrado")</f>
        <v>Não Encontrado</v>
      </c>
      <c r="E15" s="12" t="str">
        <f>IFERROR(VLOOKUP(A15,$A$1:$H$12,5,FALSE),"Não Encontrado")</f>
        <v>Não Encontrado</v>
      </c>
      <c r="F15" s="87" t="str">
        <f>IFERROR(VLOOKUP(A15,$A$1:$H$12,6,FALSE),"Não Encontrado")</f>
        <v>Não Encontrado</v>
      </c>
      <c r="G15" s="86" t="str">
        <f>IFERROR(VLOOKUP(A15,$A$1:$H$12,7,FALSE),"Não Encontrado")</f>
        <v>Não Encontrado</v>
      </c>
      <c r="H15" s="12" t="str">
        <f>IFERROR(VLOOKUP(A15,$A$1:$H$12,8,FALSE),"Não Encontrado")</f>
        <v>Não Encontrado</v>
      </c>
    </row>
    <row r="16" spans="1:8" x14ac:dyDescent="0.25">
      <c r="A16" s="12" t="s">
        <v>37</v>
      </c>
      <c r="B16" s="12" t="str">
        <f t="shared" ref="B16:B25" si="0">IFERROR(VLOOKUP(A16,$A$1:$H$12,2,FALSE),"Não Encontrado")</f>
        <v>Chevrolet</v>
      </c>
      <c r="C16" s="12" t="str">
        <f t="shared" ref="C16:C25" si="1">IFERROR(VLOOKUP(A16,$A$1:$H$12,3,FALSE),"Não Encontrado")</f>
        <v>Astra Hatch CD 2.0 8V</v>
      </c>
      <c r="D16" s="12">
        <f t="shared" ref="D16:D25" si="2">IFERROR(VLOOKUP(A16,$A$1:$H$12,4,FALSE),"Não Encontrado")</f>
        <v>2002</v>
      </c>
      <c r="E16" s="12" t="str">
        <f t="shared" ref="E16:E25" si="3">IFERROR(VLOOKUP(A16,$A$1:$H$12,5,FALSE),"Não Encontrado")</f>
        <v>Prata</v>
      </c>
      <c r="F16" s="87">
        <f t="shared" ref="F16:F25" si="4">IFERROR(VLOOKUP(A16,$A$1:$H$12,6,FALSE),"Não Encontrado")</f>
        <v>11000</v>
      </c>
      <c r="G16" s="86">
        <f t="shared" ref="G16:G25" si="5">IFERROR(VLOOKUP(A16,$A$1:$H$12,7,FALSE),"Não Encontrado")</f>
        <v>16900</v>
      </c>
      <c r="H16" s="12" t="str">
        <f t="shared" ref="H16:H25" si="6">IFERROR(VLOOKUP(A16,$A$1:$H$12,8,FALSE),"Não Encontrado")</f>
        <v>Manual</v>
      </c>
    </row>
    <row r="17" spans="1:8" x14ac:dyDescent="0.25">
      <c r="A17" s="12" t="s">
        <v>40</v>
      </c>
      <c r="B17" s="12" t="str">
        <f t="shared" si="0"/>
        <v>Renault</v>
      </c>
      <c r="C17" s="12" t="str">
        <f t="shared" si="1"/>
        <v>Clio Sedan Privilége 1.0 16V</v>
      </c>
      <c r="D17" s="12">
        <f t="shared" si="2"/>
        <v>2007</v>
      </c>
      <c r="E17" s="12" t="str">
        <f t="shared" si="3"/>
        <v>Bege</v>
      </c>
      <c r="F17" s="87">
        <f t="shared" si="4"/>
        <v>90800</v>
      </c>
      <c r="G17" s="86">
        <f t="shared" si="5"/>
        <v>17900</v>
      </c>
      <c r="H17" s="12" t="str">
        <f t="shared" si="6"/>
        <v>Manual</v>
      </c>
    </row>
    <row r="18" spans="1:8" x14ac:dyDescent="0.25">
      <c r="A18" s="12" t="s">
        <v>45</v>
      </c>
      <c r="B18" s="12" t="str">
        <f t="shared" si="0"/>
        <v>Volkswagen</v>
      </c>
      <c r="C18" s="12" t="str">
        <f t="shared" si="1"/>
        <v>Gol 1.0 (G4)</v>
      </c>
      <c r="D18" s="12">
        <f t="shared" si="2"/>
        <v>2009</v>
      </c>
      <c r="E18" s="12" t="str">
        <f t="shared" si="3"/>
        <v>Preto</v>
      </c>
      <c r="F18" s="87">
        <f t="shared" si="4"/>
        <v>98600</v>
      </c>
      <c r="G18" s="86">
        <f t="shared" si="5"/>
        <v>18900</v>
      </c>
      <c r="H18" s="12" t="str">
        <f t="shared" si="6"/>
        <v>Manual</v>
      </c>
    </row>
    <row r="19" spans="1:8" x14ac:dyDescent="0.25">
      <c r="A19" s="12" t="s">
        <v>44</v>
      </c>
      <c r="B19" s="12" t="str">
        <f t="shared" si="0"/>
        <v>Ford</v>
      </c>
      <c r="C19" s="12" t="str">
        <f t="shared" si="1"/>
        <v>Fiesta Hatch 1.6</v>
      </c>
      <c r="D19" s="12">
        <f t="shared" si="2"/>
        <v>2007</v>
      </c>
      <c r="E19" s="12" t="str">
        <f t="shared" si="3"/>
        <v>Prata</v>
      </c>
      <c r="F19" s="87">
        <f t="shared" si="4"/>
        <v>80000</v>
      </c>
      <c r="G19" s="86">
        <f t="shared" si="5"/>
        <v>19900</v>
      </c>
      <c r="H19" s="12" t="str">
        <f t="shared" si="6"/>
        <v>Manual</v>
      </c>
    </row>
    <row r="20" spans="1:8" x14ac:dyDescent="0.25">
      <c r="A20" s="12" t="s">
        <v>51</v>
      </c>
      <c r="B20" s="12" t="str">
        <f t="shared" si="0"/>
        <v>Fiat</v>
      </c>
      <c r="C20" s="12" t="str">
        <f t="shared" si="1"/>
        <v>Palio EX 1.0 8V Fire</v>
      </c>
      <c r="D20" s="12">
        <f t="shared" si="2"/>
        <v>2000</v>
      </c>
      <c r="E20" s="12" t="str">
        <f t="shared" si="3"/>
        <v>Cinza</v>
      </c>
      <c r="F20" s="87">
        <f t="shared" si="4"/>
        <v>125000</v>
      </c>
      <c r="G20" s="86">
        <f t="shared" si="5"/>
        <v>9900</v>
      </c>
      <c r="H20" s="12" t="str">
        <f t="shared" si="6"/>
        <v>Manual</v>
      </c>
    </row>
    <row r="21" spans="1:8" x14ac:dyDescent="0.25">
      <c r="A21" s="12" t="s">
        <v>141</v>
      </c>
      <c r="B21" s="12" t="str">
        <f t="shared" si="0"/>
        <v>Não Encontrado</v>
      </c>
      <c r="C21" s="12" t="str">
        <f t="shared" si="1"/>
        <v>Não Encontrado</v>
      </c>
      <c r="D21" s="12" t="str">
        <f t="shared" si="2"/>
        <v>Não Encontrado</v>
      </c>
      <c r="E21" s="12" t="str">
        <f t="shared" si="3"/>
        <v>Não Encontrado</v>
      </c>
      <c r="F21" s="87" t="str">
        <f t="shared" si="4"/>
        <v>Não Encontrado</v>
      </c>
      <c r="G21" s="86" t="str">
        <f t="shared" si="5"/>
        <v>Não Encontrado</v>
      </c>
      <c r="H21" s="12" t="str">
        <f t="shared" si="6"/>
        <v>Não Encontrado</v>
      </c>
    </row>
    <row r="22" spans="1:8" x14ac:dyDescent="0.25">
      <c r="A22" s="12" t="s">
        <v>60</v>
      </c>
      <c r="B22" s="12" t="str">
        <f t="shared" si="0"/>
        <v>Peugeot</v>
      </c>
      <c r="C22" s="12" t="str">
        <f t="shared" si="1"/>
        <v>207 Hatch XS 1.6 16V</v>
      </c>
      <c r="D22" s="12">
        <f t="shared" si="2"/>
        <v>2009</v>
      </c>
      <c r="E22" s="12" t="str">
        <f t="shared" si="3"/>
        <v>Vinho</v>
      </c>
      <c r="F22" s="87">
        <f t="shared" si="4"/>
        <v>92000</v>
      </c>
      <c r="G22" s="86">
        <f t="shared" si="5"/>
        <v>21900</v>
      </c>
      <c r="H22" s="12" t="str">
        <f t="shared" si="6"/>
        <v>Automático</v>
      </c>
    </row>
    <row r="23" spans="1:8" x14ac:dyDescent="0.25">
      <c r="A23" s="12" t="s">
        <v>64</v>
      </c>
      <c r="B23" s="12" t="str">
        <f t="shared" si="0"/>
        <v>Honda</v>
      </c>
      <c r="C23" s="12" t="str">
        <f t="shared" si="1"/>
        <v>Civic Sedan EX 1.7 16V</v>
      </c>
      <c r="D23" s="12">
        <f t="shared" si="2"/>
        <v>2004</v>
      </c>
      <c r="E23" s="12" t="str">
        <f t="shared" si="3"/>
        <v>Cinza</v>
      </c>
      <c r="F23" s="87">
        <f t="shared" si="4"/>
        <v>102420</v>
      </c>
      <c r="G23" s="86">
        <f t="shared" si="5"/>
        <v>24980</v>
      </c>
      <c r="H23" s="12" t="str">
        <f t="shared" si="6"/>
        <v>Automático</v>
      </c>
    </row>
    <row r="24" spans="1:8" x14ac:dyDescent="0.25">
      <c r="A24" s="12" t="s">
        <v>67</v>
      </c>
      <c r="B24" s="12" t="str">
        <f t="shared" si="0"/>
        <v>Fiat</v>
      </c>
      <c r="C24" s="12" t="str">
        <f t="shared" si="1"/>
        <v>Linea 1.8 16V Essence Dualogic</v>
      </c>
      <c r="D24" s="12">
        <f t="shared" si="2"/>
        <v>2012</v>
      </c>
      <c r="E24" s="12" t="str">
        <f t="shared" si="3"/>
        <v>Prata</v>
      </c>
      <c r="F24" s="87">
        <f t="shared" si="4"/>
        <v>48075</v>
      </c>
      <c r="G24" s="86">
        <f t="shared" si="5"/>
        <v>32990</v>
      </c>
      <c r="H24" s="12" t="str">
        <f t="shared" si="6"/>
        <v>Automático</v>
      </c>
    </row>
    <row r="25" spans="1:8" x14ac:dyDescent="0.25">
      <c r="A25" s="12" t="s">
        <v>70</v>
      </c>
      <c r="B25" s="12" t="str">
        <f t="shared" si="0"/>
        <v>Hyundai</v>
      </c>
      <c r="C25" s="12" t="str">
        <f t="shared" si="1"/>
        <v>Tucson GLS 2.0 16V</v>
      </c>
      <c r="D25" s="12">
        <f t="shared" si="2"/>
        <v>2013</v>
      </c>
      <c r="E25" s="12" t="str">
        <f t="shared" si="3"/>
        <v>Branco</v>
      </c>
      <c r="F25" s="87">
        <f t="shared" si="4"/>
        <v>28784</v>
      </c>
      <c r="G25" s="86">
        <f t="shared" si="5"/>
        <v>55190</v>
      </c>
      <c r="H25" s="12" t="str">
        <f t="shared" si="6"/>
        <v>Automático</v>
      </c>
    </row>
    <row r="27" spans="1:8" x14ac:dyDescent="0.25">
      <c r="C27" s="89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E934-CA24-4791-9EC3-6B6751BEEFC1}">
  <dimension ref="B2:G16"/>
  <sheetViews>
    <sheetView showGridLines="0" zoomScale="80" zoomScaleNormal="80" workbookViewId="0">
      <selection activeCell="F12" sqref="F12"/>
    </sheetView>
  </sheetViews>
  <sheetFormatPr defaultRowHeight="22.5" customHeight="1" x14ac:dyDescent="0.25"/>
  <cols>
    <col min="1" max="1" width="5.28515625" style="10" customWidth="1"/>
    <col min="2" max="2" width="12" style="10" customWidth="1"/>
    <col min="3" max="6" width="14.28515625" style="10" customWidth="1"/>
    <col min="7" max="16384" width="9.140625" style="10"/>
  </cols>
  <sheetData>
    <row r="2" spans="2:7" ht="22.5" customHeight="1" x14ac:dyDescent="0.25">
      <c r="B2" s="92" t="s">
        <v>77</v>
      </c>
      <c r="C2" s="92"/>
      <c r="D2" s="92"/>
      <c r="E2" s="92"/>
      <c r="F2" s="92"/>
    </row>
    <row r="3" spans="2:7" ht="22.5" customHeight="1" thickBot="1" x14ac:dyDescent="0.3"/>
    <row r="4" spans="2:7" ht="22.5" customHeight="1" thickBot="1" x14ac:dyDescent="0.3">
      <c r="C4" s="95" t="s">
        <v>78</v>
      </c>
      <c r="D4" s="96"/>
      <c r="E4" s="96"/>
      <c r="F4" s="96"/>
      <c r="G4" s="90"/>
    </row>
    <row r="5" spans="2:7" ht="22.5" customHeight="1" thickBot="1" x14ac:dyDescent="0.3">
      <c r="B5" s="18" t="s">
        <v>78</v>
      </c>
      <c r="C5" s="19" t="s">
        <v>79</v>
      </c>
      <c r="D5" s="20" t="s">
        <v>80</v>
      </c>
      <c r="E5" s="20" t="s">
        <v>81</v>
      </c>
      <c r="F5" s="20" t="s">
        <v>82</v>
      </c>
    </row>
    <row r="6" spans="2:7" ht="22.5" customHeight="1" x14ac:dyDescent="0.25">
      <c r="B6" s="21" t="s">
        <v>83</v>
      </c>
      <c r="C6" s="22">
        <v>83.1</v>
      </c>
      <c r="D6" s="22">
        <v>104.9</v>
      </c>
      <c r="E6" s="22">
        <v>132.58000000000001</v>
      </c>
      <c r="F6" s="22">
        <v>156.34</v>
      </c>
      <c r="G6" s="90"/>
    </row>
    <row r="7" spans="2:7" ht="22.5" customHeight="1" x14ac:dyDescent="0.25">
      <c r="B7" s="21" t="s">
        <v>84</v>
      </c>
      <c r="C7" s="22">
        <v>95.21</v>
      </c>
      <c r="D7" s="22">
        <v>120.32</v>
      </c>
      <c r="E7" s="22">
        <v>152.06</v>
      </c>
      <c r="F7" s="22">
        <v>179.38</v>
      </c>
      <c r="G7" s="90"/>
    </row>
    <row r="8" spans="2:7" ht="22.5" customHeight="1" x14ac:dyDescent="0.25">
      <c r="B8" s="21" t="s">
        <v>85</v>
      </c>
      <c r="C8" s="22">
        <v>102.24</v>
      </c>
      <c r="D8" s="22">
        <v>136.59</v>
      </c>
      <c r="E8" s="22">
        <v>182.47</v>
      </c>
      <c r="F8" s="22">
        <v>220.66333333333299</v>
      </c>
      <c r="G8" s="90"/>
    </row>
    <row r="9" spans="2:7" ht="22.5" customHeight="1" thickBot="1" x14ac:dyDescent="0.3">
      <c r="B9" s="23" t="s">
        <v>86</v>
      </c>
      <c r="C9" s="24">
        <v>177.38</v>
      </c>
      <c r="D9" s="24">
        <v>242.74</v>
      </c>
      <c r="E9" s="24">
        <v>327.36</v>
      </c>
      <c r="F9" s="24">
        <v>399.14</v>
      </c>
      <c r="G9" s="90"/>
    </row>
    <row r="11" spans="2:7" ht="22.5" customHeight="1" x14ac:dyDescent="0.25">
      <c r="D11" s="97" t="s">
        <v>87</v>
      </c>
      <c r="E11" s="97"/>
      <c r="F11" s="97"/>
    </row>
    <row r="12" spans="2:7" ht="22.5" customHeight="1" x14ac:dyDescent="0.25">
      <c r="D12" s="98" t="s">
        <v>88</v>
      </c>
      <c r="E12" s="98"/>
      <c r="F12" s="16" t="s">
        <v>79</v>
      </c>
    </row>
    <row r="13" spans="2:7" ht="22.5" customHeight="1" x14ac:dyDescent="0.25">
      <c r="D13" s="99" t="s">
        <v>89</v>
      </c>
      <c r="E13" s="25" t="s">
        <v>83</v>
      </c>
      <c r="F13" s="26">
        <f>HLOOKUP($F$12,$B$5:$F$9,2,FALSE)</f>
        <v>83.1</v>
      </c>
    </row>
    <row r="14" spans="2:7" ht="22.5" customHeight="1" x14ac:dyDescent="0.25">
      <c r="D14" s="99"/>
      <c r="E14" s="25" t="s">
        <v>84</v>
      </c>
      <c r="F14" s="26">
        <f>HLOOKUP($F$12,$B$5:$F$9,3,FALSE)</f>
        <v>95.21</v>
      </c>
    </row>
    <row r="15" spans="2:7" ht="22.5" customHeight="1" x14ac:dyDescent="0.25">
      <c r="D15" s="99"/>
      <c r="E15" s="25" t="s">
        <v>85</v>
      </c>
      <c r="F15" s="26">
        <f>HLOOKUP($F$12,$B$5:$F$9,4,FALSE)</f>
        <v>102.24</v>
      </c>
    </row>
    <row r="16" spans="2:7" ht="22.5" customHeight="1" x14ac:dyDescent="0.25">
      <c r="D16" s="99"/>
      <c r="E16" s="25" t="s">
        <v>86</v>
      </c>
      <c r="F16" s="26">
        <f>HLOOKUP($F$12,$B$5:$F$9,5,FALSE)</f>
        <v>177.38</v>
      </c>
    </row>
  </sheetData>
  <mergeCells count="5">
    <mergeCell ref="B2:F2"/>
    <mergeCell ref="C4:F4"/>
    <mergeCell ref="D11:F11"/>
    <mergeCell ref="D12:E12"/>
    <mergeCell ref="D13:D16"/>
  </mergeCells>
  <dataValidations count="1">
    <dataValidation type="list" allowBlank="1" showInputMessage="1" showErrorMessage="1" sqref="F12" xr:uid="{36B25230-0634-41B1-89EE-65F3BEE990CC}">
      <formula1>$C$5:$F$5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493C-9796-403E-BD49-FE42533CB32E}">
  <dimension ref="B1:F17"/>
  <sheetViews>
    <sheetView zoomScale="80" zoomScaleNormal="80" workbookViewId="0">
      <selection activeCell="C12" sqref="C12"/>
    </sheetView>
  </sheetViews>
  <sheetFormatPr defaultRowHeight="22.5" customHeight="1" x14ac:dyDescent="0.25"/>
  <cols>
    <col min="1" max="1" width="9.140625" style="28"/>
    <col min="2" max="2" width="29.5703125" style="28" bestFit="1" customWidth="1"/>
    <col min="3" max="3" width="23.42578125" style="28" bestFit="1" customWidth="1"/>
    <col min="4" max="4" width="19.28515625" style="28" bestFit="1" customWidth="1"/>
    <col min="5" max="5" width="22.7109375" style="28" bestFit="1" customWidth="1"/>
    <col min="6" max="6" width="15.7109375" style="28" bestFit="1" customWidth="1"/>
    <col min="7" max="16384" width="9.140625" style="28"/>
  </cols>
  <sheetData>
    <row r="1" spans="2:6" ht="22.5" customHeight="1" x14ac:dyDescent="0.25">
      <c r="B1" s="91" t="s">
        <v>90</v>
      </c>
      <c r="C1" s="91"/>
      <c r="D1" s="91"/>
      <c r="E1" s="91"/>
      <c r="F1" s="91"/>
    </row>
    <row r="2" spans="2:6" ht="22.5" customHeight="1" thickBot="1" x14ac:dyDescent="0.3">
      <c r="B2" s="27"/>
      <c r="C2" s="27"/>
      <c r="D2" s="27"/>
      <c r="E2" s="27"/>
      <c r="F2" s="27"/>
    </row>
    <row r="3" spans="2:6" ht="22.5" customHeight="1" thickBot="1" x14ac:dyDescent="0.3">
      <c r="C3" s="29" t="s">
        <v>91</v>
      </c>
      <c r="D3" s="30" t="s">
        <v>92</v>
      </c>
      <c r="E3" s="30" t="s">
        <v>93</v>
      </c>
      <c r="F3" s="31" t="s">
        <v>94</v>
      </c>
    </row>
    <row r="4" spans="2:6" ht="22.5" customHeight="1" x14ac:dyDescent="0.25">
      <c r="B4" s="32" t="s">
        <v>95</v>
      </c>
      <c r="C4" s="33" t="s">
        <v>91</v>
      </c>
      <c r="D4" s="34" t="s">
        <v>92</v>
      </c>
      <c r="E4" s="34" t="s">
        <v>96</v>
      </c>
      <c r="F4" s="35" t="s">
        <v>97</v>
      </c>
    </row>
    <row r="5" spans="2:6" ht="22.5" customHeight="1" x14ac:dyDescent="0.25">
      <c r="B5" s="36" t="s">
        <v>98</v>
      </c>
      <c r="C5" s="37" t="s">
        <v>99</v>
      </c>
      <c r="D5" s="38" t="s">
        <v>100</v>
      </c>
      <c r="E5" s="38" t="s">
        <v>101</v>
      </c>
      <c r="F5" s="39" t="s">
        <v>102</v>
      </c>
    </row>
    <row r="6" spans="2:6" ht="22.5" customHeight="1" x14ac:dyDescent="0.25">
      <c r="B6" s="36" t="s">
        <v>103</v>
      </c>
      <c r="C6" s="40">
        <v>248222.80100000001</v>
      </c>
      <c r="D6" s="41">
        <v>43780.171999999999</v>
      </c>
      <c r="E6" s="41">
        <v>586522.12199999997</v>
      </c>
      <c r="F6" s="42">
        <v>46095.582999999999</v>
      </c>
    </row>
    <row r="7" spans="2:6" ht="22.5" customHeight="1" x14ac:dyDescent="0.25">
      <c r="B7" s="36" t="s">
        <v>104</v>
      </c>
      <c r="C7" s="37" t="s">
        <v>105</v>
      </c>
      <c r="D7" s="38" t="s">
        <v>106</v>
      </c>
      <c r="E7" s="38" t="s">
        <v>107</v>
      </c>
      <c r="F7" s="39" t="s">
        <v>108</v>
      </c>
    </row>
    <row r="8" spans="2:6" ht="22.5" customHeight="1" thickBot="1" x14ac:dyDescent="0.3">
      <c r="B8" s="43" t="s">
        <v>109</v>
      </c>
      <c r="C8" s="44" t="s">
        <v>110</v>
      </c>
      <c r="D8" s="45" t="s">
        <v>107</v>
      </c>
      <c r="E8" s="45" t="s">
        <v>111</v>
      </c>
      <c r="F8" s="46" t="s">
        <v>112</v>
      </c>
    </row>
    <row r="10" spans="2:6" ht="22.5" customHeight="1" x14ac:dyDescent="0.25">
      <c r="B10" s="91" t="s">
        <v>113</v>
      </c>
      <c r="C10" s="91"/>
    </row>
    <row r="11" spans="2:6" ht="22.5" customHeight="1" thickBot="1" x14ac:dyDescent="0.3">
      <c r="B11" s="27"/>
      <c r="C11" s="27"/>
    </row>
    <row r="12" spans="2:6" ht="22.5" customHeight="1" thickBot="1" x14ac:dyDescent="0.3">
      <c r="B12" s="47" t="s">
        <v>114</v>
      </c>
      <c r="C12" s="30" t="s">
        <v>92</v>
      </c>
    </row>
    <row r="13" spans="2:6" ht="22.5" customHeight="1" thickBot="1" x14ac:dyDescent="0.3">
      <c r="B13" s="48" t="s">
        <v>95</v>
      </c>
      <c r="C13" s="49" t="str">
        <f>HLOOKUP($C$12,$B$3:$F$8,2,FALSE)</f>
        <v>Rio de Janeiro</v>
      </c>
    </row>
    <row r="14" spans="2:6" ht="22.5" customHeight="1" x14ac:dyDescent="0.25">
      <c r="B14" s="50" t="s">
        <v>98</v>
      </c>
      <c r="C14" s="49" t="str">
        <f>HLOOKUP($C$12,$B$3:$F$8,3,FALSE)</f>
        <v>Luiz Fernando Pezão</v>
      </c>
    </row>
    <row r="15" spans="2:6" ht="22.5" customHeight="1" thickBot="1" x14ac:dyDescent="0.3">
      <c r="B15" s="50" t="s">
        <v>103</v>
      </c>
      <c r="C15" s="41">
        <f>HLOOKUP($C$12,$B$3:$F$8,4,FALSE)</f>
        <v>43780.171999999999</v>
      </c>
    </row>
    <row r="16" spans="2:6" ht="22.5" customHeight="1" thickBot="1" x14ac:dyDescent="0.3">
      <c r="B16" s="50" t="s">
        <v>104</v>
      </c>
      <c r="C16" s="49" t="str">
        <f>HLOOKUP($C$12,$B$3:$F$8,5,FALSE)</f>
        <v>Palácio Guanabara</v>
      </c>
    </row>
    <row r="17" spans="2:3" ht="22.5" customHeight="1" thickBot="1" x14ac:dyDescent="0.3">
      <c r="B17" s="53" t="s">
        <v>109</v>
      </c>
      <c r="C17" s="49" t="str">
        <f>HLOOKUP($C$12,$B$3:$F$8,6,FALSE)</f>
        <v>Palácio Tiradentes</v>
      </c>
    </row>
  </sheetData>
  <mergeCells count="2">
    <mergeCell ref="B1:F1"/>
    <mergeCell ref="B10:C10"/>
  </mergeCells>
  <dataValidations count="1">
    <dataValidation type="list" allowBlank="1" showInputMessage="1" showErrorMessage="1" sqref="C12" xr:uid="{97D3D8EE-8FA1-4E2E-B23B-3E5F929A525B}">
      <formula1>$C$3:$F$3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BC16-573A-4130-9E78-55A46A8D1A42}">
  <dimension ref="B1:S18"/>
  <sheetViews>
    <sheetView showGridLines="0" topLeftCell="H1" zoomScale="90" zoomScaleNormal="90" workbookViewId="0">
      <selection activeCell="M5" sqref="M5"/>
    </sheetView>
  </sheetViews>
  <sheetFormatPr defaultRowHeight="21" customHeight="1" x14ac:dyDescent="0.25"/>
  <cols>
    <col min="1" max="1" width="9.42578125" style="10" bestFit="1" customWidth="1"/>
    <col min="2" max="2" width="30.5703125" style="10" bestFit="1" customWidth="1"/>
    <col min="3" max="3" width="25.140625" style="10" bestFit="1" customWidth="1"/>
    <col min="4" max="4" width="19.28515625" style="10" bestFit="1" customWidth="1"/>
    <col min="5" max="5" width="6.7109375" style="55" bestFit="1" customWidth="1"/>
    <col min="6" max="6" width="16" style="10" bestFit="1" customWidth="1"/>
    <col min="7" max="7" width="8.5703125" style="10" bestFit="1" customWidth="1"/>
    <col min="8" max="8" width="12.42578125" style="10" bestFit="1" customWidth="1"/>
    <col min="9" max="9" width="10" style="10" bestFit="1" customWidth="1"/>
    <col min="10" max="11" width="6.42578125" style="10" customWidth="1"/>
    <col min="12" max="12" width="19.7109375" style="10" customWidth="1"/>
    <col min="13" max="13" width="32.7109375" style="10" customWidth="1"/>
    <col min="14" max="14" width="9.140625" style="10"/>
    <col min="15" max="15" width="30.5703125" style="10" bestFit="1" customWidth="1"/>
    <col min="16" max="16" width="24" style="10" bestFit="1" customWidth="1"/>
    <col min="17" max="17" width="19.28515625" style="10" bestFit="1" customWidth="1"/>
    <col min="18" max="18" width="23.42578125" style="10" bestFit="1" customWidth="1"/>
    <col min="19" max="19" width="16" style="10" bestFit="1" customWidth="1"/>
    <col min="20" max="16384" width="9.140625" style="10"/>
  </cols>
  <sheetData>
    <row r="1" spans="2:19" ht="21" customHeight="1" x14ac:dyDescent="0.25">
      <c r="R1" s="55"/>
    </row>
    <row r="2" spans="2:19" ht="21" customHeight="1" x14ac:dyDescent="0.25">
      <c r="B2" s="11" t="s">
        <v>24</v>
      </c>
      <c r="C2" s="11" t="s">
        <v>25</v>
      </c>
      <c r="D2" s="11" t="s">
        <v>23</v>
      </c>
      <c r="E2" s="11" t="s">
        <v>26</v>
      </c>
      <c r="F2" s="11" t="s">
        <v>27</v>
      </c>
      <c r="G2" s="11" t="s">
        <v>28</v>
      </c>
      <c r="H2" s="11" t="s">
        <v>29</v>
      </c>
      <c r="I2" s="11" t="s">
        <v>30</v>
      </c>
      <c r="O2" s="91" t="s">
        <v>90</v>
      </c>
      <c r="P2" s="91"/>
      <c r="Q2" s="91"/>
      <c r="R2" s="91"/>
      <c r="S2" s="91"/>
    </row>
    <row r="3" spans="2:19" ht="21" customHeight="1" thickBot="1" x14ac:dyDescent="0.3">
      <c r="B3" s="12" t="s">
        <v>32</v>
      </c>
      <c r="C3" s="12" t="s">
        <v>33</v>
      </c>
      <c r="D3" s="12" t="s">
        <v>31</v>
      </c>
      <c r="E3" s="88">
        <v>1998</v>
      </c>
      <c r="F3" s="12" t="s">
        <v>34</v>
      </c>
      <c r="G3" s="13">
        <v>130000</v>
      </c>
      <c r="H3" s="14">
        <v>12900</v>
      </c>
      <c r="I3" s="12" t="s">
        <v>35</v>
      </c>
      <c r="L3" s="93" t="s">
        <v>36</v>
      </c>
      <c r="M3" s="93"/>
      <c r="O3" s="27"/>
      <c r="P3" s="27"/>
      <c r="Q3" s="27"/>
      <c r="R3" s="27"/>
      <c r="S3" s="27"/>
    </row>
    <row r="4" spans="2:19" ht="21" customHeight="1" thickBot="1" x14ac:dyDescent="0.3">
      <c r="B4" s="12" t="s">
        <v>32</v>
      </c>
      <c r="C4" s="12" t="s">
        <v>38</v>
      </c>
      <c r="D4" s="12" t="s">
        <v>37</v>
      </c>
      <c r="E4" s="88">
        <v>2002</v>
      </c>
      <c r="F4" s="12" t="s">
        <v>39</v>
      </c>
      <c r="G4" s="13">
        <v>11000</v>
      </c>
      <c r="H4" s="14">
        <v>16900</v>
      </c>
      <c r="I4" s="12" t="s">
        <v>35</v>
      </c>
      <c r="L4" s="94"/>
      <c r="M4" s="94"/>
      <c r="O4" s="28"/>
      <c r="P4" s="29" t="s">
        <v>91</v>
      </c>
      <c r="Q4" s="30" t="s">
        <v>92</v>
      </c>
      <c r="R4" s="30" t="s">
        <v>93</v>
      </c>
      <c r="S4" s="31" t="s">
        <v>94</v>
      </c>
    </row>
    <row r="5" spans="2:19" ht="21" customHeight="1" x14ac:dyDescent="0.25">
      <c r="B5" s="12" t="s">
        <v>41</v>
      </c>
      <c r="C5" s="12" t="s">
        <v>42</v>
      </c>
      <c r="D5" s="12" t="s">
        <v>40</v>
      </c>
      <c r="E5" s="88">
        <v>2007</v>
      </c>
      <c r="F5" s="12" t="s">
        <v>43</v>
      </c>
      <c r="G5" s="13">
        <v>90800</v>
      </c>
      <c r="H5" s="14">
        <v>17900</v>
      </c>
      <c r="I5" s="12" t="s">
        <v>35</v>
      </c>
      <c r="L5" s="15" t="s">
        <v>23</v>
      </c>
      <c r="M5" s="16" t="s">
        <v>51</v>
      </c>
      <c r="O5" s="32" t="s">
        <v>95</v>
      </c>
      <c r="P5" s="33" t="s">
        <v>91</v>
      </c>
      <c r="Q5" s="34" t="s">
        <v>92</v>
      </c>
      <c r="R5" s="34" t="s">
        <v>96</v>
      </c>
      <c r="S5" s="35" t="s">
        <v>97</v>
      </c>
    </row>
    <row r="6" spans="2:19" ht="21" customHeight="1" x14ac:dyDescent="0.25">
      <c r="B6" s="12" t="s">
        <v>46</v>
      </c>
      <c r="C6" s="12" t="s">
        <v>47</v>
      </c>
      <c r="D6" s="12" t="s">
        <v>45</v>
      </c>
      <c r="E6" s="88">
        <v>2009</v>
      </c>
      <c r="F6" s="12" t="s">
        <v>48</v>
      </c>
      <c r="G6" s="13">
        <v>98600</v>
      </c>
      <c r="H6" s="14">
        <v>18900</v>
      </c>
      <c r="I6" s="12" t="s">
        <v>35</v>
      </c>
      <c r="L6" s="17" t="s">
        <v>25</v>
      </c>
      <c r="M6" s="85" t="str">
        <f>_xlfn.XLOOKUP($M$5,$D$2:$D$13,$C$2:$C$13,"Não encontrado",0)</f>
        <v>Palio EX 1.0 8V Fire</v>
      </c>
      <c r="O6" s="36" t="s">
        <v>98</v>
      </c>
      <c r="P6" s="37" t="s">
        <v>99</v>
      </c>
      <c r="Q6" s="38" t="s">
        <v>100</v>
      </c>
      <c r="R6" s="38" t="s">
        <v>101</v>
      </c>
      <c r="S6" s="39" t="s">
        <v>102</v>
      </c>
    </row>
    <row r="7" spans="2:19" ht="21" customHeight="1" x14ac:dyDescent="0.25">
      <c r="B7" s="12" t="s">
        <v>49</v>
      </c>
      <c r="C7" s="12" t="s">
        <v>50</v>
      </c>
      <c r="D7" s="12" t="s">
        <v>44</v>
      </c>
      <c r="E7" s="88">
        <v>2007</v>
      </c>
      <c r="F7" s="12" t="s">
        <v>39</v>
      </c>
      <c r="G7" s="13">
        <v>80000</v>
      </c>
      <c r="H7" s="14">
        <v>19900</v>
      </c>
      <c r="I7" s="12" t="s">
        <v>35</v>
      </c>
      <c r="L7" s="17" t="s">
        <v>26</v>
      </c>
      <c r="M7" s="85">
        <f>_xlfn.XLOOKUP($M$5,$D$2:$D$13,$E$2:$E$13,"Não encontrado",0)</f>
        <v>2000</v>
      </c>
      <c r="O7" s="36" t="s">
        <v>103</v>
      </c>
      <c r="P7" s="40">
        <v>248222.80100000001</v>
      </c>
      <c r="Q7" s="41">
        <v>43780.171999999999</v>
      </c>
      <c r="R7" s="41">
        <v>586522.12199999997</v>
      </c>
      <c r="S7" s="42">
        <v>46095.582999999999</v>
      </c>
    </row>
    <row r="8" spans="2:19" ht="21" customHeight="1" x14ac:dyDescent="0.25">
      <c r="B8" s="12" t="s">
        <v>52</v>
      </c>
      <c r="C8" s="12" t="s">
        <v>53</v>
      </c>
      <c r="D8" s="12" t="s">
        <v>51</v>
      </c>
      <c r="E8" s="88">
        <v>2000</v>
      </c>
      <c r="F8" s="12" t="s">
        <v>54</v>
      </c>
      <c r="G8" s="13">
        <v>125000</v>
      </c>
      <c r="H8" s="14">
        <v>9900</v>
      </c>
      <c r="I8" s="12" t="s">
        <v>35</v>
      </c>
      <c r="L8" s="17" t="s">
        <v>27</v>
      </c>
      <c r="M8" s="85" t="str">
        <f>_xlfn.XLOOKUP($M$5,$D$2:$D$13,$F$2:$F$13,"Não encontrado",0)</f>
        <v>Cinza</v>
      </c>
      <c r="O8" s="36" t="s">
        <v>104</v>
      </c>
      <c r="P8" s="37" t="s">
        <v>105</v>
      </c>
      <c r="Q8" s="38" t="s">
        <v>106</v>
      </c>
      <c r="R8" s="38" t="s">
        <v>107</v>
      </c>
      <c r="S8" s="39" t="s">
        <v>108</v>
      </c>
    </row>
    <row r="9" spans="2:19" ht="21" customHeight="1" thickBot="1" x14ac:dyDescent="0.3">
      <c r="B9" s="12" t="s">
        <v>56</v>
      </c>
      <c r="C9" s="12" t="s">
        <v>57</v>
      </c>
      <c r="D9" s="12" t="s">
        <v>55</v>
      </c>
      <c r="E9" s="88">
        <v>2000</v>
      </c>
      <c r="F9" s="12" t="s">
        <v>58</v>
      </c>
      <c r="G9" s="13">
        <v>147000</v>
      </c>
      <c r="H9" s="14">
        <v>17800</v>
      </c>
      <c r="I9" s="12" t="s">
        <v>59</v>
      </c>
      <c r="L9" s="17" t="s">
        <v>29</v>
      </c>
      <c r="M9" s="100">
        <f>_xlfn.XLOOKUP($M$5,$D$2:$D$13,$H$2:$H$13,"Não encontrado",0)</f>
        <v>9900</v>
      </c>
      <c r="O9" s="43" t="s">
        <v>109</v>
      </c>
      <c r="P9" s="44" t="s">
        <v>110</v>
      </c>
      <c r="Q9" s="45" t="s">
        <v>107</v>
      </c>
      <c r="R9" s="45" t="s">
        <v>111</v>
      </c>
      <c r="S9" s="46" t="s">
        <v>112</v>
      </c>
    </row>
    <row r="10" spans="2:19" ht="21" customHeight="1" x14ac:dyDescent="0.25">
      <c r="B10" s="12" t="s">
        <v>61</v>
      </c>
      <c r="C10" s="12" t="s">
        <v>62</v>
      </c>
      <c r="D10" s="57" t="s">
        <v>60</v>
      </c>
      <c r="E10" s="88">
        <v>2009</v>
      </c>
      <c r="F10" s="12" t="s">
        <v>63</v>
      </c>
      <c r="G10" s="13">
        <v>92000</v>
      </c>
      <c r="H10" s="14">
        <v>21900</v>
      </c>
      <c r="I10" s="12" t="s">
        <v>59</v>
      </c>
      <c r="O10" s="28"/>
      <c r="P10" s="28"/>
      <c r="Q10" s="28"/>
      <c r="R10" s="56"/>
      <c r="S10" s="28"/>
    </row>
    <row r="11" spans="2:19" ht="21" customHeight="1" x14ac:dyDescent="0.25">
      <c r="B11" s="12" t="s">
        <v>65</v>
      </c>
      <c r="C11" s="12" t="s">
        <v>66</v>
      </c>
      <c r="D11" s="12" t="s">
        <v>64</v>
      </c>
      <c r="E11" s="88">
        <v>2004</v>
      </c>
      <c r="F11" s="12" t="s">
        <v>54</v>
      </c>
      <c r="G11" s="13">
        <v>102420</v>
      </c>
      <c r="H11" s="14">
        <v>24980</v>
      </c>
      <c r="I11" s="12" t="s">
        <v>59</v>
      </c>
      <c r="O11" s="91" t="s">
        <v>113</v>
      </c>
      <c r="P11" s="91"/>
      <c r="Q11" s="28"/>
      <c r="R11" s="56"/>
      <c r="S11" s="28"/>
    </row>
    <row r="12" spans="2:19" ht="21" customHeight="1" thickBot="1" x14ac:dyDescent="0.3">
      <c r="B12" s="12" t="s">
        <v>52</v>
      </c>
      <c r="C12" s="12" t="s">
        <v>68</v>
      </c>
      <c r="D12" s="12" t="s">
        <v>67</v>
      </c>
      <c r="E12" s="88">
        <v>2012</v>
      </c>
      <c r="F12" s="12" t="s">
        <v>39</v>
      </c>
      <c r="G12" s="13">
        <v>48075</v>
      </c>
      <c r="H12" s="14">
        <v>32990</v>
      </c>
      <c r="I12" s="12" t="s">
        <v>59</v>
      </c>
      <c r="L12" s="10" t="s">
        <v>69</v>
      </c>
      <c r="O12" s="27"/>
      <c r="P12" s="27"/>
      <c r="Q12" s="28"/>
      <c r="R12" s="56"/>
      <c r="S12" s="28"/>
    </row>
    <row r="13" spans="2:19" ht="21" customHeight="1" thickBot="1" x14ac:dyDescent="0.3">
      <c r="B13" s="12" t="s">
        <v>71</v>
      </c>
      <c r="C13" s="12" t="s">
        <v>72</v>
      </c>
      <c r="D13" s="12" t="s">
        <v>70</v>
      </c>
      <c r="E13" s="88">
        <v>2013</v>
      </c>
      <c r="F13" s="12" t="s">
        <v>73</v>
      </c>
      <c r="G13" s="13">
        <v>28784</v>
      </c>
      <c r="H13" s="14">
        <v>55190</v>
      </c>
      <c r="I13" s="12" t="s">
        <v>59</v>
      </c>
      <c r="L13" s="10" t="s">
        <v>74</v>
      </c>
      <c r="O13" s="47" t="s">
        <v>114</v>
      </c>
      <c r="P13" s="29" t="s">
        <v>92</v>
      </c>
      <c r="Q13" s="28"/>
      <c r="R13" s="56"/>
      <c r="S13" s="28"/>
    </row>
    <row r="14" spans="2:19" ht="21" customHeight="1" x14ac:dyDescent="0.25">
      <c r="L14" s="10" t="s">
        <v>75</v>
      </c>
      <c r="O14" s="48" t="s">
        <v>95</v>
      </c>
      <c r="P14" s="49" t="str">
        <f>_xlfn.XLOOKUP($P$13,$O$4:$S$4,$O$5:$S$5,"Não encontrado",0)</f>
        <v>Rio de Janeiro</v>
      </c>
      <c r="Q14" s="28"/>
      <c r="R14" s="56"/>
      <c r="S14" s="28"/>
    </row>
    <row r="15" spans="2:19" ht="21" customHeight="1" x14ac:dyDescent="0.25">
      <c r="L15" s="10" t="s">
        <v>76</v>
      </c>
      <c r="O15" s="50" t="s">
        <v>98</v>
      </c>
      <c r="P15" s="51" t="str">
        <f>_xlfn.XLOOKUP($P$13,$O$4:$S$4,$O$6:$S$6,"Não encontrado",0)</f>
        <v>Luiz Fernando Pezão</v>
      </c>
      <c r="Q15" s="28"/>
      <c r="R15" s="56"/>
      <c r="S15" s="28"/>
    </row>
    <row r="16" spans="2:19" ht="21" customHeight="1" x14ac:dyDescent="0.25">
      <c r="O16" s="50" t="s">
        <v>103</v>
      </c>
      <c r="P16" s="52">
        <f>_xlfn.XLOOKUP($P$13,$O$4:$S$4,$O$7:$S$7,"Não encontrado",0)</f>
        <v>43780.171999999999</v>
      </c>
      <c r="Q16" s="28"/>
      <c r="R16" s="56"/>
      <c r="S16" s="28"/>
    </row>
    <row r="17" spans="15:19" ht="21" customHeight="1" x14ac:dyDescent="0.25">
      <c r="O17" s="50" t="s">
        <v>104</v>
      </c>
      <c r="P17" s="51" t="str">
        <f>_xlfn.XLOOKUP($P$13,$O$4:$S$4,$O$8:$S$8,"Não encontrado",0)</f>
        <v>Palácio Guanabara</v>
      </c>
      <c r="Q17" s="28"/>
      <c r="R17" s="56"/>
      <c r="S17" s="28"/>
    </row>
    <row r="18" spans="15:19" ht="21" customHeight="1" thickBot="1" x14ac:dyDescent="0.3">
      <c r="O18" s="53" t="s">
        <v>109</v>
      </c>
      <c r="P18" s="54" t="str">
        <f>_xlfn.XLOOKUP($P$13,$O$4:$S$4,$O$9:$S$9,"Não encontrado",0)</f>
        <v>Palácio Tiradentes</v>
      </c>
      <c r="Q18" s="28"/>
      <c r="R18" s="56"/>
      <c r="S18" s="28"/>
    </row>
  </sheetData>
  <mergeCells count="3">
    <mergeCell ref="L3:M4"/>
    <mergeCell ref="O2:S2"/>
    <mergeCell ref="O11:P11"/>
  </mergeCells>
  <dataValidations count="2">
    <dataValidation type="list" allowBlank="1" showInputMessage="1" sqref="M5" xr:uid="{DEC83DA1-35DF-49E6-82B5-23800193B796}">
      <formula1>$D$3:$D$13</formula1>
    </dataValidation>
    <dataValidation type="list" allowBlank="1" showInputMessage="1" showErrorMessage="1" sqref="P13" xr:uid="{7FF9FAC5-450C-428D-95E2-687F54DC104D}">
      <formula1>$P$4:$S$4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C051-D25B-4353-9468-ED3373FED120}">
  <dimension ref="A1:K25"/>
  <sheetViews>
    <sheetView showGridLines="0" zoomScaleNormal="100" workbookViewId="0">
      <selection activeCell="H19" sqref="H19"/>
    </sheetView>
  </sheetViews>
  <sheetFormatPr defaultRowHeight="15.75" x14ac:dyDescent="0.25"/>
  <cols>
    <col min="1" max="1" width="10.7109375" style="28" bestFit="1" customWidth="1"/>
    <col min="2" max="2" width="12.7109375" style="28" bestFit="1" customWidth="1"/>
    <col min="3" max="3" width="14" style="28" bestFit="1" customWidth="1"/>
    <col min="4" max="4" width="10.5703125" style="28" bestFit="1" customWidth="1"/>
    <col min="5" max="5" width="16.85546875" style="28" bestFit="1" customWidth="1"/>
    <col min="6" max="6" width="6.28515625" style="10" customWidth="1"/>
    <col min="7" max="7" width="20" style="10" bestFit="1" customWidth="1"/>
    <col min="8" max="8" width="24.5703125" style="10" bestFit="1" customWidth="1"/>
    <col min="9" max="10" width="9.140625" style="10"/>
    <col min="11" max="11" width="11.85546875" style="10" bestFit="1" customWidth="1"/>
    <col min="12" max="16384" width="9.140625" style="10"/>
  </cols>
  <sheetData>
    <row r="1" spans="1:11" ht="16.5" thickBot="1" x14ac:dyDescent="0.3">
      <c r="A1" s="58" t="s">
        <v>115</v>
      </c>
      <c r="B1" s="58" t="s">
        <v>116</v>
      </c>
      <c r="C1" s="58" t="s">
        <v>117</v>
      </c>
      <c r="D1" s="58" t="s">
        <v>118</v>
      </c>
      <c r="E1" s="58" t="s">
        <v>119</v>
      </c>
      <c r="K1" s="59"/>
    </row>
    <row r="2" spans="1:11" x14ac:dyDescent="0.25">
      <c r="A2" s="60">
        <v>44370</v>
      </c>
      <c r="B2" s="61" t="s">
        <v>120</v>
      </c>
      <c r="C2" s="61">
        <v>24</v>
      </c>
      <c r="D2" s="62">
        <v>184.2</v>
      </c>
      <c r="E2" s="63">
        <v>300000</v>
      </c>
      <c r="K2" s="59"/>
    </row>
    <row r="3" spans="1:11" x14ac:dyDescent="0.25">
      <c r="A3" s="60">
        <v>44366</v>
      </c>
      <c r="B3" s="38" t="s">
        <v>120</v>
      </c>
      <c r="C3" s="38">
        <v>30</v>
      </c>
      <c r="D3" s="64">
        <v>503</v>
      </c>
      <c r="E3" s="63">
        <f t="shared" ref="E3:E20" si="0">D3*C3</f>
        <v>15090</v>
      </c>
      <c r="K3" s="59"/>
    </row>
    <row r="4" spans="1:11" x14ac:dyDescent="0.25">
      <c r="A4" s="60">
        <v>44376</v>
      </c>
      <c r="B4" s="38" t="s">
        <v>121</v>
      </c>
      <c r="C4" s="38">
        <v>36</v>
      </c>
      <c r="D4" s="64">
        <v>255</v>
      </c>
      <c r="E4" s="63">
        <f t="shared" si="0"/>
        <v>9180</v>
      </c>
      <c r="G4" s="10" t="s">
        <v>122</v>
      </c>
    </row>
    <row r="5" spans="1:11" ht="16.5" thickBot="1" x14ac:dyDescent="0.3">
      <c r="A5" s="60">
        <v>44374</v>
      </c>
      <c r="B5" s="38" t="s">
        <v>121</v>
      </c>
      <c r="C5" s="38">
        <v>74</v>
      </c>
      <c r="D5" s="64">
        <v>156</v>
      </c>
      <c r="E5" s="63">
        <f t="shared" si="0"/>
        <v>11544</v>
      </c>
    </row>
    <row r="6" spans="1:11" x14ac:dyDescent="0.25">
      <c r="A6" s="60">
        <v>44368</v>
      </c>
      <c r="B6" s="38" t="s">
        <v>120</v>
      </c>
      <c r="C6" s="38">
        <v>10</v>
      </c>
      <c r="D6" s="64">
        <v>708</v>
      </c>
      <c r="E6" s="63">
        <f t="shared" si="0"/>
        <v>7080</v>
      </c>
      <c r="G6" s="65" t="s">
        <v>116</v>
      </c>
      <c r="H6" s="66" t="s">
        <v>122</v>
      </c>
    </row>
    <row r="7" spans="1:11" ht="16.5" thickBot="1" x14ac:dyDescent="0.3">
      <c r="A7" s="60">
        <v>44379</v>
      </c>
      <c r="B7" s="38" t="s">
        <v>123</v>
      </c>
      <c r="C7" s="38">
        <v>38</v>
      </c>
      <c r="D7" s="64">
        <v>559</v>
      </c>
      <c r="E7" s="63">
        <f t="shared" si="0"/>
        <v>21242</v>
      </c>
      <c r="G7" s="38" t="s">
        <v>120</v>
      </c>
      <c r="H7" s="67">
        <f>COUNTIF(B:B,G7)</f>
        <v>9</v>
      </c>
    </row>
    <row r="8" spans="1:11" x14ac:dyDescent="0.25">
      <c r="A8" s="60">
        <v>44381</v>
      </c>
      <c r="B8" s="38" t="s">
        <v>124</v>
      </c>
      <c r="C8" s="38">
        <v>90</v>
      </c>
      <c r="D8" s="64">
        <v>981</v>
      </c>
      <c r="E8" s="63">
        <f t="shared" si="0"/>
        <v>88290</v>
      </c>
    </row>
    <row r="9" spans="1:11" x14ac:dyDescent="0.25">
      <c r="A9" s="60">
        <v>44370</v>
      </c>
      <c r="B9" s="38" t="s">
        <v>124</v>
      </c>
      <c r="C9" s="38">
        <v>46</v>
      </c>
      <c r="D9" s="64">
        <v>779</v>
      </c>
      <c r="E9" s="63">
        <f t="shared" si="0"/>
        <v>35834</v>
      </c>
    </row>
    <row r="10" spans="1:11" x14ac:dyDescent="0.25">
      <c r="A10" s="60">
        <v>44367</v>
      </c>
      <c r="B10" s="38" t="s">
        <v>123</v>
      </c>
      <c r="C10" s="38">
        <v>70</v>
      </c>
      <c r="D10" s="64">
        <v>199</v>
      </c>
      <c r="E10" s="63">
        <f t="shared" si="0"/>
        <v>13930</v>
      </c>
    </row>
    <row r="11" spans="1:11" x14ac:dyDescent="0.25">
      <c r="A11" s="60">
        <v>44366</v>
      </c>
      <c r="B11" s="38" t="s">
        <v>121</v>
      </c>
      <c r="C11" s="38">
        <v>188</v>
      </c>
      <c r="D11" s="64">
        <v>212</v>
      </c>
      <c r="E11" s="63">
        <f t="shared" si="0"/>
        <v>39856</v>
      </c>
    </row>
    <row r="12" spans="1:11" x14ac:dyDescent="0.25">
      <c r="A12" s="60">
        <v>44365</v>
      </c>
      <c r="B12" s="38" t="s">
        <v>121</v>
      </c>
      <c r="C12" s="38">
        <v>156</v>
      </c>
      <c r="D12" s="64">
        <v>715</v>
      </c>
      <c r="E12" s="63">
        <f t="shared" si="0"/>
        <v>111540</v>
      </c>
      <c r="G12" s="10" t="s">
        <v>125</v>
      </c>
    </row>
    <row r="13" spans="1:11" ht="16.5" thickBot="1" x14ac:dyDescent="0.3">
      <c r="A13" s="60">
        <v>44367</v>
      </c>
      <c r="B13" s="38" t="s">
        <v>120</v>
      </c>
      <c r="C13" s="38">
        <v>240</v>
      </c>
      <c r="D13" s="64">
        <v>855</v>
      </c>
      <c r="E13" s="63">
        <f t="shared" si="0"/>
        <v>205200</v>
      </c>
    </row>
    <row r="14" spans="1:11" x14ac:dyDescent="0.25">
      <c r="A14" s="60">
        <v>44366</v>
      </c>
      <c r="B14" s="38" t="s">
        <v>120</v>
      </c>
      <c r="C14" s="38">
        <v>38</v>
      </c>
      <c r="D14" s="64">
        <v>373</v>
      </c>
      <c r="E14" s="63">
        <f t="shared" si="0"/>
        <v>14174</v>
      </c>
      <c r="G14" s="65" t="s">
        <v>116</v>
      </c>
      <c r="H14" s="65" t="s">
        <v>119</v>
      </c>
    </row>
    <row r="15" spans="1:11" ht="16.5" thickBot="1" x14ac:dyDescent="0.3">
      <c r="A15" s="60">
        <v>44366</v>
      </c>
      <c r="B15" s="38" t="s">
        <v>123</v>
      </c>
      <c r="C15" s="38">
        <v>50</v>
      </c>
      <c r="D15" s="64">
        <v>578</v>
      </c>
      <c r="E15" s="63">
        <f t="shared" si="0"/>
        <v>28900</v>
      </c>
      <c r="G15" s="68" t="s">
        <v>124</v>
      </c>
      <c r="H15" s="69">
        <f>SUMIF(B:B,G15,E:E)</f>
        <v>209552</v>
      </c>
    </row>
    <row r="16" spans="1:11" x14ac:dyDescent="0.25">
      <c r="A16" s="60">
        <v>44366</v>
      </c>
      <c r="B16" s="38" t="s">
        <v>120</v>
      </c>
      <c r="C16" s="38">
        <v>188</v>
      </c>
      <c r="D16" s="64">
        <v>672</v>
      </c>
      <c r="E16" s="63">
        <f t="shared" si="0"/>
        <v>126336</v>
      </c>
    </row>
    <row r="17" spans="1:8" x14ac:dyDescent="0.25">
      <c r="A17" s="60">
        <v>44366</v>
      </c>
      <c r="B17" s="38" t="s">
        <v>120</v>
      </c>
      <c r="C17" s="38">
        <v>2</v>
      </c>
      <c r="D17" s="64">
        <v>324</v>
      </c>
      <c r="E17" s="63">
        <f t="shared" si="0"/>
        <v>648</v>
      </c>
    </row>
    <row r="18" spans="1:8" x14ac:dyDescent="0.25">
      <c r="A18" s="60">
        <v>44366</v>
      </c>
      <c r="B18" s="38" t="s">
        <v>124</v>
      </c>
      <c r="C18" s="38">
        <v>108</v>
      </c>
      <c r="D18" s="64">
        <v>791</v>
      </c>
      <c r="E18" s="63">
        <f t="shared" si="0"/>
        <v>85428</v>
      </c>
      <c r="G18" s="78" t="s">
        <v>116</v>
      </c>
      <c r="H18" s="78" t="s">
        <v>126</v>
      </c>
    </row>
    <row r="19" spans="1:8" x14ac:dyDescent="0.25">
      <c r="A19" s="60">
        <v>44366</v>
      </c>
      <c r="B19" s="38" t="s">
        <v>120</v>
      </c>
      <c r="C19" s="38">
        <v>244</v>
      </c>
      <c r="D19" s="64">
        <v>856</v>
      </c>
      <c r="E19" s="63">
        <f t="shared" si="0"/>
        <v>208864</v>
      </c>
      <c r="G19" s="79" t="s">
        <v>124</v>
      </c>
      <c r="H19" s="79" t="s">
        <v>127</v>
      </c>
    </row>
    <row r="20" spans="1:8" x14ac:dyDescent="0.25">
      <c r="A20" s="60">
        <v>44366</v>
      </c>
      <c r="B20" s="38" t="s">
        <v>120</v>
      </c>
      <c r="C20" s="38">
        <v>64</v>
      </c>
      <c r="D20" s="64">
        <v>894</v>
      </c>
      <c r="E20" s="63">
        <f t="shared" si="0"/>
        <v>57216</v>
      </c>
      <c r="G20" s="79" t="s">
        <v>120</v>
      </c>
      <c r="H20" s="79" t="s">
        <v>128</v>
      </c>
    </row>
    <row r="21" spans="1:8" x14ac:dyDescent="0.25">
      <c r="G21" s="79" t="s">
        <v>121</v>
      </c>
      <c r="H21" s="79" t="s">
        <v>129</v>
      </c>
    </row>
    <row r="22" spans="1:8" x14ac:dyDescent="0.25">
      <c r="G22" s="79" t="s">
        <v>123</v>
      </c>
      <c r="H22" s="79" t="s">
        <v>130</v>
      </c>
    </row>
    <row r="23" spans="1:8" x14ac:dyDescent="0.25">
      <c r="G23" s="80"/>
      <c r="H23" s="80"/>
    </row>
    <row r="24" spans="1:8" x14ac:dyDescent="0.25">
      <c r="G24" s="80"/>
      <c r="H24" s="80"/>
    </row>
    <row r="25" spans="1:8" x14ac:dyDescent="0.25">
      <c r="G25" s="80"/>
      <c r="H25" s="80"/>
    </row>
  </sheetData>
  <autoFilter ref="A1:E20" xr:uid="{00000000-0009-0000-0000-000004000000}"/>
  <dataValidations count="1">
    <dataValidation type="list" allowBlank="1" showInputMessage="1" showErrorMessage="1" sqref="G15 G7" xr:uid="{AB5DE7F0-4AA6-4A6A-9776-FC83AC47F7C7}">
      <formula1>$G$19:$G$22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7058-4C26-4885-A51C-82385D679D45}">
  <dimension ref="A1:M21"/>
  <sheetViews>
    <sheetView showGridLines="0" zoomScale="90" zoomScaleNormal="90" workbookViewId="0">
      <selection activeCell="I18" sqref="I18"/>
    </sheetView>
  </sheetViews>
  <sheetFormatPr defaultRowHeight="15.75" x14ac:dyDescent="0.25"/>
  <cols>
    <col min="1" max="1" width="11.28515625" style="28" bestFit="1" customWidth="1"/>
    <col min="2" max="2" width="12.7109375" style="28" bestFit="1" customWidth="1"/>
    <col min="3" max="3" width="12.7109375" style="28" customWidth="1"/>
    <col min="4" max="4" width="14" style="28" bestFit="1" customWidth="1"/>
    <col min="5" max="5" width="12.140625" style="28" bestFit="1" customWidth="1"/>
    <col min="6" max="6" width="16.85546875" style="28" bestFit="1" customWidth="1"/>
    <col min="7" max="7" width="5.28515625" style="10" customWidth="1"/>
    <col min="8" max="8" width="12.42578125" style="10" bestFit="1" customWidth="1"/>
    <col min="9" max="9" width="12.140625" style="10" bestFit="1" customWidth="1"/>
    <col min="10" max="10" width="15.140625" style="10" bestFit="1" customWidth="1"/>
    <col min="11" max="11" width="6.140625" style="70" customWidth="1"/>
    <col min="12" max="12" width="9.140625" style="10"/>
    <col min="13" max="13" width="11.85546875" style="10" bestFit="1" customWidth="1"/>
    <col min="14" max="16384" width="9.140625" style="10"/>
  </cols>
  <sheetData>
    <row r="1" spans="1:13" ht="16.5" thickBot="1" x14ac:dyDescent="0.3">
      <c r="A1" s="58" t="s">
        <v>115</v>
      </c>
      <c r="B1" s="58" t="s">
        <v>116</v>
      </c>
      <c r="C1" s="58" t="s">
        <v>126</v>
      </c>
      <c r="D1" s="58" t="s">
        <v>117</v>
      </c>
      <c r="E1" s="58" t="s">
        <v>118</v>
      </c>
      <c r="F1" s="58" t="s">
        <v>119</v>
      </c>
      <c r="M1" s="59"/>
    </row>
    <row r="2" spans="1:13" x14ac:dyDescent="0.25">
      <c r="A2" s="60">
        <v>44370</v>
      </c>
      <c r="B2" s="61" t="s">
        <v>120</v>
      </c>
      <c r="C2" s="61" t="s">
        <v>131</v>
      </c>
      <c r="D2" s="61">
        <v>24</v>
      </c>
      <c r="E2" s="62">
        <v>184.2</v>
      </c>
      <c r="F2" s="63">
        <v>300000</v>
      </c>
      <c r="I2" s="59"/>
      <c r="M2" s="59"/>
    </row>
    <row r="3" spans="1:13" x14ac:dyDescent="0.25">
      <c r="A3" s="60">
        <v>44366</v>
      </c>
      <c r="B3" s="38" t="s">
        <v>120</v>
      </c>
      <c r="C3" s="38" t="s">
        <v>127</v>
      </c>
      <c r="D3" s="38">
        <v>30</v>
      </c>
      <c r="E3" s="64">
        <v>503</v>
      </c>
      <c r="F3" s="63">
        <f t="shared" ref="F3:F20" si="0">E3*D3</f>
        <v>15090</v>
      </c>
      <c r="M3" s="59"/>
    </row>
    <row r="4" spans="1:13" x14ac:dyDescent="0.25">
      <c r="A4" s="60">
        <v>44376</v>
      </c>
      <c r="B4" s="38" t="s">
        <v>121</v>
      </c>
      <c r="C4" s="38" t="s">
        <v>132</v>
      </c>
      <c r="D4" s="38">
        <v>36</v>
      </c>
      <c r="E4" s="64">
        <v>255</v>
      </c>
      <c r="F4" s="63">
        <f t="shared" si="0"/>
        <v>9180</v>
      </c>
      <c r="H4" s="10" t="s">
        <v>133</v>
      </c>
    </row>
    <row r="5" spans="1:13" ht="16.5" thickBot="1" x14ac:dyDescent="0.3">
      <c r="A5" s="60">
        <v>44374</v>
      </c>
      <c r="B5" s="38" t="s">
        <v>121</v>
      </c>
      <c r="C5" s="38" t="s">
        <v>127</v>
      </c>
      <c r="D5" s="38">
        <v>74</v>
      </c>
      <c r="E5" s="64">
        <v>156</v>
      </c>
      <c r="F5" s="63">
        <f t="shared" si="0"/>
        <v>11544</v>
      </c>
    </row>
    <row r="6" spans="1:13" x14ac:dyDescent="0.25">
      <c r="A6" s="60">
        <v>44368</v>
      </c>
      <c r="B6" s="38" t="s">
        <v>120</v>
      </c>
      <c r="C6" s="38" t="s">
        <v>134</v>
      </c>
      <c r="D6" s="38">
        <v>10</v>
      </c>
      <c r="E6" s="64">
        <v>708</v>
      </c>
      <c r="F6" s="63">
        <f t="shared" si="0"/>
        <v>7080</v>
      </c>
      <c r="H6" s="65" t="s">
        <v>116</v>
      </c>
      <c r="I6" s="65" t="s">
        <v>126</v>
      </c>
      <c r="J6" s="65" t="s">
        <v>133</v>
      </c>
      <c r="K6" s="71"/>
    </row>
    <row r="7" spans="1:13" ht="16.5" thickBot="1" x14ac:dyDescent="0.3">
      <c r="A7" s="60">
        <v>44379</v>
      </c>
      <c r="B7" s="38" t="s">
        <v>123</v>
      </c>
      <c r="C7" s="38" t="s">
        <v>134</v>
      </c>
      <c r="D7" s="38">
        <v>38</v>
      </c>
      <c r="E7" s="64">
        <v>559</v>
      </c>
      <c r="F7" s="63">
        <f t="shared" si="0"/>
        <v>21242</v>
      </c>
      <c r="H7" s="76" t="s">
        <v>124</v>
      </c>
      <c r="I7" s="68" t="s">
        <v>128</v>
      </c>
      <c r="J7" s="68">
        <f>COUNTIFS(B:B,H7,C:C,I7)</f>
        <v>2</v>
      </c>
      <c r="K7" s="72"/>
    </row>
    <row r="8" spans="1:13" x14ac:dyDescent="0.25">
      <c r="A8" s="60">
        <v>44381</v>
      </c>
      <c r="B8" s="38" t="s">
        <v>124</v>
      </c>
      <c r="C8" s="38" t="s">
        <v>127</v>
      </c>
      <c r="D8" s="38">
        <v>90</v>
      </c>
      <c r="E8" s="64">
        <v>981</v>
      </c>
      <c r="F8" s="63">
        <f t="shared" si="0"/>
        <v>88290</v>
      </c>
      <c r="H8" s="73" t="s">
        <v>135</v>
      </c>
      <c r="I8" s="73" t="s">
        <v>136</v>
      </c>
      <c r="J8" s="73" t="s">
        <v>137</v>
      </c>
    </row>
    <row r="9" spans="1:13" x14ac:dyDescent="0.25">
      <c r="A9" s="60">
        <v>44370</v>
      </c>
      <c r="B9" s="38" t="s">
        <v>124</v>
      </c>
      <c r="C9" s="38" t="s">
        <v>132</v>
      </c>
      <c r="D9" s="38">
        <v>46</v>
      </c>
      <c r="E9" s="64">
        <v>779</v>
      </c>
      <c r="F9" s="63">
        <f t="shared" si="0"/>
        <v>35834</v>
      </c>
    </row>
    <row r="10" spans="1:13" x14ac:dyDescent="0.25">
      <c r="A10" s="60">
        <v>44367</v>
      </c>
      <c r="B10" s="38" t="s">
        <v>123</v>
      </c>
      <c r="C10" s="38" t="s">
        <v>138</v>
      </c>
      <c r="D10" s="38">
        <v>70</v>
      </c>
      <c r="E10" s="64">
        <v>199</v>
      </c>
      <c r="F10" s="63">
        <f t="shared" si="0"/>
        <v>13930</v>
      </c>
    </row>
    <row r="11" spans="1:13" x14ac:dyDescent="0.25">
      <c r="A11" s="60">
        <v>44366</v>
      </c>
      <c r="B11" s="38" t="s">
        <v>121</v>
      </c>
      <c r="C11" s="38" t="s">
        <v>131</v>
      </c>
      <c r="D11" s="38">
        <v>188</v>
      </c>
      <c r="E11" s="64">
        <v>212</v>
      </c>
      <c r="F11" s="63">
        <f t="shared" si="0"/>
        <v>39856</v>
      </c>
    </row>
    <row r="12" spans="1:13" x14ac:dyDescent="0.25">
      <c r="A12" s="60">
        <v>44365</v>
      </c>
      <c r="B12" s="38" t="s">
        <v>121</v>
      </c>
      <c r="C12" s="38" t="s">
        <v>131</v>
      </c>
      <c r="D12" s="38">
        <v>156</v>
      </c>
      <c r="E12" s="64">
        <v>715</v>
      </c>
      <c r="F12" s="63">
        <f t="shared" si="0"/>
        <v>111540</v>
      </c>
      <c r="H12" s="10" t="s">
        <v>139</v>
      </c>
    </row>
    <row r="13" spans="1:13" ht="16.5" thickBot="1" x14ac:dyDescent="0.3">
      <c r="A13" s="60">
        <v>44367</v>
      </c>
      <c r="B13" s="38" t="s">
        <v>120</v>
      </c>
      <c r="C13" s="38" t="s">
        <v>127</v>
      </c>
      <c r="D13" s="38">
        <v>240</v>
      </c>
      <c r="E13" s="64">
        <v>855</v>
      </c>
      <c r="F13" s="63">
        <f t="shared" si="0"/>
        <v>205200</v>
      </c>
    </row>
    <row r="14" spans="1:13" x14ac:dyDescent="0.25">
      <c r="A14" s="60">
        <v>44366</v>
      </c>
      <c r="B14" s="38" t="s">
        <v>120</v>
      </c>
      <c r="C14" s="38" t="s">
        <v>134</v>
      </c>
      <c r="D14" s="38">
        <v>38</v>
      </c>
      <c r="E14" s="64">
        <v>373</v>
      </c>
      <c r="F14" s="63">
        <f t="shared" si="0"/>
        <v>14174</v>
      </c>
      <c r="H14" s="65" t="s">
        <v>116</v>
      </c>
      <c r="I14" s="65" t="s">
        <v>126</v>
      </c>
      <c r="J14" s="65" t="s">
        <v>119</v>
      </c>
    </row>
    <row r="15" spans="1:13" ht="16.5" thickBot="1" x14ac:dyDescent="0.3">
      <c r="A15" s="60">
        <v>44366</v>
      </c>
      <c r="B15" s="38" t="s">
        <v>123</v>
      </c>
      <c r="C15" s="38" t="s">
        <v>138</v>
      </c>
      <c r="D15" s="38">
        <v>50</v>
      </c>
      <c r="E15" s="64">
        <v>578</v>
      </c>
      <c r="F15" s="63">
        <f t="shared" si="0"/>
        <v>28900</v>
      </c>
      <c r="H15" s="68" t="s">
        <v>120</v>
      </c>
      <c r="I15" s="68" t="s">
        <v>127</v>
      </c>
      <c r="J15" s="74">
        <f>SUMIFS(F:F,B:B,H15,C:C,I15)</f>
        <v>220290</v>
      </c>
    </row>
    <row r="16" spans="1:13" ht="16.5" thickBot="1" x14ac:dyDescent="0.3">
      <c r="A16" s="60">
        <v>44366</v>
      </c>
      <c r="B16" s="38" t="s">
        <v>120</v>
      </c>
      <c r="C16" s="38" t="s">
        <v>134</v>
      </c>
      <c r="D16" s="38">
        <v>188</v>
      </c>
      <c r="E16" s="64">
        <v>672</v>
      </c>
      <c r="F16" s="63">
        <f t="shared" si="0"/>
        <v>126336</v>
      </c>
    </row>
    <row r="17" spans="1:9" ht="16.5" thickBot="1" x14ac:dyDescent="0.3">
      <c r="A17" s="60">
        <v>44366</v>
      </c>
      <c r="B17" s="38" t="s">
        <v>120</v>
      </c>
      <c r="C17" s="38" t="s">
        <v>131</v>
      </c>
      <c r="D17" s="38">
        <v>2</v>
      </c>
      <c r="E17" s="64">
        <v>324</v>
      </c>
      <c r="F17" s="63">
        <f t="shared" si="0"/>
        <v>648</v>
      </c>
      <c r="H17" s="75" t="s">
        <v>116</v>
      </c>
      <c r="I17" s="75" t="s">
        <v>126</v>
      </c>
    </row>
    <row r="18" spans="1:9" x14ac:dyDescent="0.25">
      <c r="A18" s="60">
        <v>44366</v>
      </c>
      <c r="B18" s="38" t="s">
        <v>124</v>
      </c>
      <c r="C18" s="38" t="s">
        <v>132</v>
      </c>
      <c r="D18" s="38">
        <v>108</v>
      </c>
      <c r="E18" s="64">
        <v>791</v>
      </c>
      <c r="F18" s="63">
        <f t="shared" si="0"/>
        <v>85428</v>
      </c>
      <c r="H18" s="76" t="s">
        <v>124</v>
      </c>
      <c r="I18" s="76" t="s">
        <v>127</v>
      </c>
    </row>
    <row r="19" spans="1:9" x14ac:dyDescent="0.25">
      <c r="A19" s="60">
        <v>44366</v>
      </c>
      <c r="B19" s="38" t="s">
        <v>120</v>
      </c>
      <c r="C19" s="38" t="s">
        <v>131</v>
      </c>
      <c r="D19" s="38">
        <v>244</v>
      </c>
      <c r="E19" s="64">
        <v>856</v>
      </c>
      <c r="F19" s="63">
        <f t="shared" si="0"/>
        <v>208864</v>
      </c>
      <c r="H19" s="77" t="s">
        <v>120</v>
      </c>
      <c r="I19" s="77" t="s">
        <v>128</v>
      </c>
    </row>
    <row r="20" spans="1:9" x14ac:dyDescent="0.25">
      <c r="A20" s="60">
        <v>44366</v>
      </c>
      <c r="B20" s="38" t="s">
        <v>120</v>
      </c>
      <c r="C20" s="38" t="s">
        <v>131</v>
      </c>
      <c r="D20" s="38">
        <v>64</v>
      </c>
      <c r="E20" s="64">
        <v>894</v>
      </c>
      <c r="F20" s="63">
        <f t="shared" si="0"/>
        <v>57216</v>
      </c>
      <c r="H20" s="76" t="s">
        <v>121</v>
      </c>
      <c r="I20" s="76" t="s">
        <v>129</v>
      </c>
    </row>
    <row r="21" spans="1:9" x14ac:dyDescent="0.25">
      <c r="H21" s="76" t="s">
        <v>123</v>
      </c>
      <c r="I21" s="76" t="s">
        <v>130</v>
      </c>
    </row>
  </sheetData>
  <autoFilter ref="A1:F20" xr:uid="{00000000-0009-0000-0000-000005000000}"/>
  <dataValidations count="2">
    <dataValidation type="list" allowBlank="1" showInputMessage="1" showErrorMessage="1" sqref="I7 I15" xr:uid="{8E475467-47A0-448D-A88A-E264C63C772A}">
      <formula1>$I$18:$I$21</formula1>
    </dataValidation>
    <dataValidation type="list" allowBlank="1" showInputMessage="1" showErrorMessage="1" sqref="H15" xr:uid="{6BFC422B-427B-4578-B46C-1A29ECC51539}">
      <formula1>$H$18:$H$21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1.Data M</vt:lpstr>
      <vt:lpstr>2. ESQ,Direita</vt:lpstr>
      <vt:lpstr>3. Procv</vt:lpstr>
      <vt:lpstr>4. procv2</vt:lpstr>
      <vt:lpstr>5.proch</vt:lpstr>
      <vt:lpstr>6.proch2</vt:lpstr>
      <vt:lpstr>7. Procv ,Proch x ProcX</vt:lpstr>
      <vt:lpstr>8. Cont.se soma.se</vt:lpstr>
      <vt:lpstr>9. Cont.ses soma.ses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Sthefany Christine</cp:lastModifiedBy>
  <dcterms:created xsi:type="dcterms:W3CDTF">2024-07-08T20:51:26Z</dcterms:created>
  <dcterms:modified xsi:type="dcterms:W3CDTF">2026-03-16T22:35:34Z</dcterms:modified>
</cp:coreProperties>
</file>