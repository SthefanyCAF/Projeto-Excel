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ypRosa\Documents\Projetos\Excel\"/>
    </mc:Choice>
  </mc:AlternateContent>
  <xr:revisionPtr revIDLastSave="0" documentId="13_ncr:1_{3F548040-EF52-41A3-9206-333E8EA3109B}" xr6:coauthVersionLast="47" xr6:coauthVersionMax="47" xr10:uidLastSave="{00000000-0000-0000-0000-000000000000}"/>
  <bookViews>
    <workbookView xWindow="-120" yWindow="-120" windowWidth="20730" windowHeight="11040" xr2:uid="{C4C2A4FA-884B-4E69-90F6-8784FB487923}"/>
  </bookViews>
  <sheets>
    <sheet name="1.Data M" sheetId="2" r:id="rId1"/>
    <sheet name="2. ESQ,Direita" sheetId="3" r:id="rId2"/>
    <sheet name="3. Procv" sheetId="4" r:id="rId3"/>
    <sheet name="4. procv2" sheetId="5" r:id="rId4"/>
    <sheet name="5.proch" sheetId="6" r:id="rId5"/>
    <sheet name="6.proch2" sheetId="7" r:id="rId6"/>
    <sheet name="7. Procv ,Proch x ProcX" sheetId="8" r:id="rId7"/>
    <sheet name="8. Cont.se soma.se" sheetId="9" r:id="rId8"/>
    <sheet name="9. Cont.ses soma.ses" sheetId="10" r:id="rId9"/>
  </sheets>
  <definedNames>
    <definedName name="_xlnm._FilterDatabase" localSheetId="7" hidden="1">'8. Cont.se soma.se'!$A$2:$E$21</definedName>
    <definedName name="_xlnm._FilterDatabase" localSheetId="8" hidden="1">'9. Cont.ses soma.ses'!$A$2:$F$21</definedName>
    <definedName name="Cotações">#REF!</definedName>
    <definedName name="Valores">'5.proch'!$C$5:$F$9</definedName>
    <definedName name="Z_15420BEE_D5D7_4ED4_9BAB_18A5F2EF42EB_.wvu.FilterData" localSheetId="7" hidden="1">'8. Cont.se soma.se'!$A$2:$E$21</definedName>
    <definedName name="Z_15420BEE_D5D7_4ED4_9BAB_18A5F2EF42EB_.wvu.FilterData" localSheetId="8" hidden="1">'9. Cont.ses soma.ses'!$A$2:$F$21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0" l="1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B16" i="5"/>
  <c r="B17" i="5"/>
  <c r="B18" i="5"/>
  <c r="B19" i="5"/>
  <c r="B20" i="5"/>
  <c r="B21" i="5"/>
  <c r="B22" i="5"/>
  <c r="B23" i="5"/>
  <c r="B24" i="5"/>
  <c r="B25" i="5"/>
  <c r="B15" i="5"/>
  <c r="C16" i="5"/>
  <c r="D16" i="5"/>
  <c r="E16" i="5"/>
  <c r="C17" i="5"/>
  <c r="D17" i="5"/>
  <c r="E17" i="5"/>
  <c r="C18" i="5"/>
  <c r="D18" i="5"/>
  <c r="E18" i="5"/>
  <c r="C20" i="5"/>
  <c r="D20" i="5"/>
  <c r="E20" i="5"/>
  <c r="C21" i="5"/>
  <c r="D21" i="5"/>
  <c r="E21" i="5"/>
  <c r="C22" i="5"/>
  <c r="D22" i="5"/>
  <c r="E22" i="5"/>
  <c r="C23" i="5"/>
  <c r="D23" i="5"/>
  <c r="E23" i="5"/>
  <c r="C24" i="5"/>
  <c r="D24" i="5"/>
  <c r="E24" i="5"/>
  <c r="C25" i="5"/>
  <c r="D25" i="5"/>
  <c r="E25" i="5"/>
</calcChain>
</file>

<file path=xl/sharedStrings.xml><?xml version="1.0" encoding="utf-8"?>
<sst xmlns="http://schemas.openxmlformats.org/spreadsheetml/2006/main" count="446" uniqueCount="138">
  <si>
    <t xml:space="preserve">Pedido </t>
  </si>
  <si>
    <t xml:space="preserve">Data compra </t>
  </si>
  <si>
    <t>Prazo / mês</t>
  </si>
  <si>
    <t>Data do pagamento</t>
  </si>
  <si>
    <t>Pagamentos posteriores</t>
  </si>
  <si>
    <t>Negativos ( pagamentos antecipados)</t>
  </si>
  <si>
    <t xml:space="preserve">Data entrega </t>
  </si>
  <si>
    <t>CEP</t>
  </si>
  <si>
    <t>Endereço</t>
  </si>
  <si>
    <t>caracteres</t>
  </si>
  <si>
    <t>Praça Leoni Ramos, 1 – São Domingos, Niterói – RJ, 24210-205</t>
  </si>
  <si>
    <t xml:space="preserve">Nome </t>
  </si>
  <si>
    <t>EXT.TEXTO</t>
  </si>
  <si>
    <t>01-MARCOS HENRIQUE</t>
  </si>
  <si>
    <t>02-LUIZ SILVA</t>
  </si>
  <si>
    <t>04-LUCAS DA SILVA</t>
  </si>
  <si>
    <t>Caracter</t>
  </si>
  <si>
    <t>REPT</t>
  </si>
  <si>
    <t>N</t>
  </si>
  <si>
    <t>*</t>
  </si>
  <si>
    <t>RODA</t>
  </si>
  <si>
    <t>Id</t>
  </si>
  <si>
    <t>Tabela de Venda de Veículos</t>
  </si>
  <si>
    <t>Placa do Veículo</t>
  </si>
  <si>
    <t>Marca</t>
  </si>
  <si>
    <t>Veículo</t>
  </si>
  <si>
    <t>Ano</t>
  </si>
  <si>
    <t>Cor</t>
  </si>
  <si>
    <t>KM</t>
  </si>
  <si>
    <t>Valor</t>
  </si>
  <si>
    <t>Câmbio</t>
  </si>
  <si>
    <t>FAD0104</t>
  </si>
  <si>
    <t>Chevrolet</t>
  </si>
  <si>
    <t>Vectra GL 2.0 MPFi</t>
  </si>
  <si>
    <t>Azul</t>
  </si>
  <si>
    <t>Manual</t>
  </si>
  <si>
    <t>Consulta Veículos</t>
  </si>
  <si>
    <t>BGT3418</t>
  </si>
  <si>
    <t>Astra Hatch CD 2.0 8V</t>
  </si>
  <si>
    <t>Prata</t>
  </si>
  <si>
    <t>HLL9845</t>
  </si>
  <si>
    <t>Renault</t>
  </si>
  <si>
    <t>Clio Sedan Privilége 1.0 16V</t>
  </si>
  <si>
    <t>Bege</t>
  </si>
  <si>
    <t>MPQ0041</t>
  </si>
  <si>
    <t>AZT5672</t>
  </si>
  <si>
    <t>Volkswagen</t>
  </si>
  <si>
    <t>Gol 1.0 (G4)</t>
  </si>
  <si>
    <t>Preto</t>
  </si>
  <si>
    <t>Ford</t>
  </si>
  <si>
    <t>Fiesta Hatch 1.6</t>
  </si>
  <si>
    <t>TYU9056</t>
  </si>
  <si>
    <t>Fiat</t>
  </si>
  <si>
    <t>Palio EX 1.0 8V Fire</t>
  </si>
  <si>
    <t>Cinza</t>
  </si>
  <si>
    <t>JKU7713</t>
  </si>
  <si>
    <t>Toyota</t>
  </si>
  <si>
    <t>Corolla Sedan Xei 1.8 16V</t>
  </si>
  <si>
    <t>Verde</t>
  </si>
  <si>
    <t>Automático</t>
  </si>
  <si>
    <t>RFB8405</t>
  </si>
  <si>
    <t>Peugeot</t>
  </si>
  <si>
    <t>207 Hatch XS 1.6 16V</t>
  </si>
  <si>
    <t>Vinho</t>
  </si>
  <si>
    <t>BBK5522</t>
  </si>
  <si>
    <t>Honda</t>
  </si>
  <si>
    <t>Civic Sedan EX 1.7 16V</t>
  </si>
  <si>
    <t>DER6530</t>
  </si>
  <si>
    <t>Linea 1.8 16V Essence Dualogic</t>
  </si>
  <si>
    <t>CAX4050</t>
  </si>
  <si>
    <t>Hyundai</t>
  </si>
  <si>
    <t>Tucson GLS 2.0 16V</t>
  </si>
  <si>
    <t>Branco</t>
  </si>
  <si>
    <t>kkksss</t>
  </si>
  <si>
    <t>gggggg</t>
  </si>
  <si>
    <t>Valores de Planos de Saúde</t>
  </si>
  <si>
    <t>Planos</t>
  </si>
  <si>
    <t>A</t>
  </si>
  <si>
    <t>B</t>
  </si>
  <si>
    <t>C</t>
  </si>
  <si>
    <t>D</t>
  </si>
  <si>
    <t>Básico</t>
  </si>
  <si>
    <t>Clássico</t>
  </si>
  <si>
    <t>Especial</t>
  </si>
  <si>
    <t>Executivo</t>
  </si>
  <si>
    <t>Consulta de Valores</t>
  </si>
  <si>
    <t>Plano escolhido</t>
  </si>
  <si>
    <t>Valores</t>
  </si>
  <si>
    <t>Brasil - Região Sudeste - 2015</t>
  </si>
  <si>
    <t>São Paulo</t>
  </si>
  <si>
    <t>Rio de Janeiro</t>
  </si>
  <si>
    <t>Minas Gerais</t>
  </si>
  <si>
    <t>Espírito Santo</t>
  </si>
  <si>
    <t>Capital</t>
  </si>
  <si>
    <t>Belo Horizonte</t>
  </si>
  <si>
    <t>Vitória</t>
  </si>
  <si>
    <t>Governador</t>
  </si>
  <si>
    <t>Geraldo Alckmin</t>
  </si>
  <si>
    <t>Luiz Fernando Pezão</t>
  </si>
  <si>
    <t>Fernando Pimentel</t>
  </si>
  <si>
    <t>Paulo Hartung</t>
  </si>
  <si>
    <t>Área Total (km²)</t>
  </si>
  <si>
    <t>Sede do Governo</t>
  </si>
  <si>
    <t>Palácio dos Bandeirantes</t>
  </si>
  <si>
    <t>Palácio Guanabara</t>
  </si>
  <si>
    <t>Palácio Tiradentes</t>
  </si>
  <si>
    <t>Palácio Anchieta</t>
  </si>
  <si>
    <t>Sede da Assembleia Legislativa</t>
  </si>
  <si>
    <t>Palácio 9 de Julho</t>
  </si>
  <si>
    <t>Palácio da Inconfidência</t>
  </si>
  <si>
    <t>Enseada do Suá</t>
  </si>
  <si>
    <t>Consultar Estados</t>
  </si>
  <si>
    <t>Informe o Estado desejado</t>
  </si>
  <si>
    <t>Data</t>
  </si>
  <si>
    <t>Produto</t>
  </si>
  <si>
    <t>Unidades</t>
  </si>
  <si>
    <t>Preço</t>
  </si>
  <si>
    <t>Total venda*</t>
  </si>
  <si>
    <t>Cadeira</t>
  </si>
  <si>
    <t>Mesa</t>
  </si>
  <si>
    <t>Cont.se</t>
  </si>
  <si>
    <t>Sofá</t>
  </si>
  <si>
    <t>Escrivaninha</t>
  </si>
  <si>
    <t>Soma.se</t>
  </si>
  <si>
    <t>Região</t>
  </si>
  <si>
    <t>Sul</t>
  </si>
  <si>
    <t>nordeste</t>
  </si>
  <si>
    <t>sudeste</t>
  </si>
  <si>
    <t>centro oeste</t>
  </si>
  <si>
    <t>Norte</t>
  </si>
  <si>
    <t>Nordeste</t>
  </si>
  <si>
    <t>Cont.ses</t>
  </si>
  <si>
    <t>Sudeste</t>
  </si>
  <si>
    <t>c1</t>
  </si>
  <si>
    <t>c2</t>
  </si>
  <si>
    <t>resultado</t>
  </si>
  <si>
    <t>Centro-Oeste</t>
  </si>
  <si>
    <t>Soma.ses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</si>
</sst>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#,##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202124"/>
      <name val="Arial"/>
      <family val="2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i/>
      <sz val="16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3">
    <xf numFmtId="0" fontId="0" fillId="0" borderId="0" xfId="0"/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0" fillId="0" borderId="0" xfId="0" applyNumberFormat="1"/>
    <xf numFmtId="14" fontId="3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8" fillId="0" borderId="1" xfId="1" applyNumberFormat="1" applyFont="1" applyBorder="1" applyAlignment="1">
      <alignment horizontal="center" vertical="center"/>
    </xf>
    <xf numFmtId="44" fontId="8" fillId="0" borderId="1" xfId="2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11" fillId="3" borderId="5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44" fontId="6" fillId="4" borderId="0" xfId="2" applyFont="1" applyFill="1" applyBorder="1" applyAlignment="1">
      <alignment vertical="center"/>
    </xf>
    <xf numFmtId="0" fontId="11" fillId="3" borderId="7" xfId="0" applyFont="1" applyFill="1" applyBorder="1" applyAlignment="1">
      <alignment horizontal="center" vertical="center"/>
    </xf>
    <xf numFmtId="44" fontId="6" fillId="4" borderId="8" xfId="2" applyFont="1" applyFill="1" applyBorder="1" applyAlignment="1">
      <alignment vertical="center"/>
    </xf>
    <xf numFmtId="0" fontId="10" fillId="0" borderId="1" xfId="0" applyFont="1" applyBorder="1" applyAlignment="1">
      <alignment horizontal="right" vertical="center"/>
    </xf>
    <xf numFmtId="44" fontId="6" fillId="0" borderId="1" xfId="2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4" fillId="5" borderId="16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5" fontId="0" fillId="0" borderId="17" xfId="1" applyNumberFormat="1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5" fontId="0" fillId="0" borderId="18" xfId="1" applyNumberFormat="1" applyFont="1" applyBorder="1" applyAlignment="1">
      <alignment horizontal="center" vertical="center"/>
    </xf>
    <xf numFmtId="0" fontId="14" fillId="5" borderId="19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" fillId="6" borderId="5" xfId="0" applyFont="1" applyFill="1" applyBorder="1" applyAlignment="1">
      <alignment horizontal="right" vertical="center"/>
    </xf>
    <xf numFmtId="0" fontId="14" fillId="0" borderId="12" xfId="0" applyFont="1" applyBorder="1" applyAlignment="1">
      <alignment horizontal="right" vertical="center"/>
    </xf>
    <xf numFmtId="0" fontId="0" fillId="0" borderId="12" xfId="0" applyBorder="1" applyAlignment="1">
      <alignment horizontal="center" vertical="center"/>
    </xf>
    <xf numFmtId="0" fontId="14" fillId="0" borderId="16" xfId="0" applyFont="1" applyBorder="1" applyAlignment="1">
      <alignment horizontal="right" vertical="center"/>
    </xf>
    <xf numFmtId="0" fontId="0" fillId="0" borderId="16" xfId="0" applyBorder="1" applyAlignment="1">
      <alignment horizontal="center" vertical="center"/>
    </xf>
    <xf numFmtId="165" fontId="0" fillId="0" borderId="16" xfId="1" applyNumberFormat="1" applyFont="1" applyBorder="1" applyAlignment="1">
      <alignment horizontal="center" vertical="center"/>
    </xf>
    <xf numFmtId="0" fontId="14" fillId="0" borderId="19" xfId="0" applyFont="1" applyBorder="1" applyAlignment="1">
      <alignment horizontal="right" vertical="center"/>
    </xf>
    <xf numFmtId="0" fontId="0" fillId="0" borderId="19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44" fontId="0" fillId="0" borderId="0" xfId="0" applyNumberFormat="1" applyAlignment="1">
      <alignment vertical="center"/>
    </xf>
    <xf numFmtId="0" fontId="3" fillId="0" borderId="5" xfId="0" applyFont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14" fontId="0" fillId="0" borderId="23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4" fontId="0" fillId="0" borderId="23" xfId="2" applyFont="1" applyBorder="1" applyAlignment="1">
      <alignment horizontal="center" vertical="center"/>
    </xf>
    <xf numFmtId="44" fontId="0" fillId="0" borderId="23" xfId="0" applyNumberFormat="1" applyBorder="1" applyAlignment="1">
      <alignment horizontal="center" vertical="center"/>
    </xf>
    <xf numFmtId="44" fontId="0" fillId="0" borderId="1" xfId="2" applyFont="1" applyBorder="1" applyAlignment="1">
      <alignment horizontal="center" vertical="center"/>
    </xf>
    <xf numFmtId="0" fontId="11" fillId="2" borderId="13" xfId="0" applyFont="1" applyFill="1" applyBorder="1" applyAlignment="1">
      <alignment horizontal="center"/>
    </xf>
    <xf numFmtId="0" fontId="11" fillId="2" borderId="15" xfId="0" applyFont="1" applyFill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0" fillId="0" borderId="20" xfId="0" applyBorder="1" applyAlignment="1">
      <alignment horizontal="center"/>
    </xf>
    <xf numFmtId="44" fontId="6" fillId="0" borderId="22" xfId="2" applyFont="1" applyBorder="1" applyAlignment="1">
      <alignment horizontal="center"/>
    </xf>
    <xf numFmtId="0" fontId="6" fillId="8" borderId="0" xfId="0" applyFont="1" applyFill="1" applyAlignment="1">
      <alignment vertical="center"/>
    </xf>
    <xf numFmtId="0" fontId="11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5" fillId="0" borderId="0" xfId="0" applyFont="1" applyAlignment="1">
      <alignment vertical="center"/>
    </xf>
    <xf numFmtId="44" fontId="0" fillId="0" borderId="20" xfId="2" applyFont="1" applyBorder="1" applyAlignment="1">
      <alignment horizontal="center"/>
    </xf>
    <xf numFmtId="0" fontId="16" fillId="0" borderId="5" xfId="0" applyFont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7" fillId="8" borderId="23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3" borderId="1" xfId="0" applyFont="1" applyFill="1" applyBorder="1" applyAlignment="1">
      <alignment horizontal="right" vertical="center"/>
    </xf>
    <xf numFmtId="0" fontId="13" fillId="0" borderId="1" xfId="0" applyFont="1" applyBorder="1" applyAlignment="1">
      <alignment horizontal="right" vertical="center" textRotation="90"/>
    </xf>
    <xf numFmtId="0" fontId="3" fillId="0" borderId="0" xfId="0" applyFont="1" applyAlignment="1">
      <alignment horizontal="center" vertic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3B9B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027CA-CB97-40E1-9332-42B0C278FAD1}">
  <dimension ref="A1:K19"/>
  <sheetViews>
    <sheetView showGridLines="0" tabSelected="1" zoomScale="110" zoomScaleNormal="110" workbookViewId="0">
      <selection activeCell="E1" sqref="E1"/>
    </sheetView>
  </sheetViews>
  <sheetFormatPr defaultRowHeight="15" x14ac:dyDescent="0.25"/>
  <cols>
    <col min="1" max="1" width="7.7109375" bestFit="1" customWidth="1"/>
    <col min="2" max="2" width="12.85546875" style="6" bestFit="1" customWidth="1"/>
    <col min="3" max="3" width="12.42578125" style="7" bestFit="1" customWidth="1"/>
    <col min="4" max="4" width="18.5703125" style="6" bestFit="1" customWidth="1"/>
    <col min="5" max="5" width="18.42578125" style="7" bestFit="1" customWidth="1"/>
    <col min="11" max="11" width="10.7109375" bestFit="1" customWidth="1"/>
  </cols>
  <sheetData>
    <row r="1" spans="1:11" x14ac:dyDescent="0.25">
      <c r="A1" s="1" t="s">
        <v>0</v>
      </c>
      <c r="B1" s="2" t="s">
        <v>1</v>
      </c>
      <c r="C1" s="3" t="s">
        <v>2</v>
      </c>
      <c r="D1" s="2" t="s">
        <v>3</v>
      </c>
      <c r="E1"/>
      <c r="F1" t="s">
        <v>4</v>
      </c>
    </row>
    <row r="2" spans="1:11" x14ac:dyDescent="0.25">
      <c r="A2" s="1">
        <v>45</v>
      </c>
      <c r="B2" s="2">
        <v>45097</v>
      </c>
      <c r="C2" s="3">
        <v>3</v>
      </c>
      <c r="D2" s="2"/>
      <c r="E2"/>
    </row>
    <row r="3" spans="1:11" x14ac:dyDescent="0.25">
      <c r="A3" s="1">
        <v>7456</v>
      </c>
      <c r="B3" s="5">
        <v>45096</v>
      </c>
      <c r="C3" s="3">
        <v>3</v>
      </c>
      <c r="D3" s="2"/>
      <c r="E3"/>
    </row>
    <row r="4" spans="1:11" x14ac:dyDescent="0.25">
      <c r="A4" s="1">
        <v>456</v>
      </c>
      <c r="B4" s="5">
        <v>45102</v>
      </c>
      <c r="C4" s="3">
        <v>5</v>
      </c>
      <c r="D4" s="2"/>
      <c r="E4"/>
    </row>
    <row r="5" spans="1:11" x14ac:dyDescent="0.25">
      <c r="A5" s="1">
        <v>46</v>
      </c>
      <c r="B5" s="5">
        <v>45102</v>
      </c>
      <c r="C5" s="3">
        <v>3</v>
      </c>
      <c r="D5" s="2"/>
      <c r="E5"/>
      <c r="K5" s="4"/>
    </row>
    <row r="6" spans="1:11" x14ac:dyDescent="0.25">
      <c r="A6" s="1">
        <v>44534</v>
      </c>
      <c r="B6" s="5">
        <v>45097</v>
      </c>
      <c r="C6" s="3">
        <v>10</v>
      </c>
      <c r="D6" s="2"/>
      <c r="E6"/>
    </row>
    <row r="7" spans="1:11" x14ac:dyDescent="0.25">
      <c r="A7" s="1">
        <v>345235</v>
      </c>
      <c r="B7" s="5">
        <v>45098</v>
      </c>
      <c r="C7" s="3">
        <v>3</v>
      </c>
      <c r="D7" s="2"/>
      <c r="E7"/>
    </row>
    <row r="8" spans="1:11" x14ac:dyDescent="0.25">
      <c r="A8" s="1">
        <v>234</v>
      </c>
      <c r="B8" s="5">
        <v>45103</v>
      </c>
      <c r="C8" s="3">
        <v>3</v>
      </c>
      <c r="D8" s="2"/>
      <c r="E8"/>
    </row>
    <row r="9" spans="1:11" x14ac:dyDescent="0.25">
      <c r="A9" s="1">
        <v>32</v>
      </c>
      <c r="B9" s="5">
        <v>45100</v>
      </c>
      <c r="C9" s="3">
        <v>3</v>
      </c>
      <c r="D9" s="2"/>
      <c r="E9"/>
    </row>
    <row r="10" spans="1:11" x14ac:dyDescent="0.25">
      <c r="A10" s="6"/>
      <c r="B10" s="7"/>
      <c r="C10" s="6"/>
      <c r="D10" s="7"/>
      <c r="E10"/>
    </row>
    <row r="11" spans="1:11" x14ac:dyDescent="0.25">
      <c r="A11" s="1" t="s">
        <v>0</v>
      </c>
      <c r="B11" s="2" t="s">
        <v>6</v>
      </c>
      <c r="C11" s="3" t="s">
        <v>2</v>
      </c>
      <c r="D11" s="2" t="s">
        <v>3</v>
      </c>
      <c r="E11"/>
      <c r="F11" t="s">
        <v>5</v>
      </c>
    </row>
    <row r="12" spans="1:11" x14ac:dyDescent="0.25">
      <c r="A12" s="1">
        <v>45</v>
      </c>
      <c r="B12" s="2">
        <v>45280</v>
      </c>
      <c r="C12" s="3">
        <v>3</v>
      </c>
      <c r="D12" s="2"/>
      <c r="E12"/>
    </row>
    <row r="13" spans="1:11" x14ac:dyDescent="0.25">
      <c r="A13" s="1">
        <v>7456</v>
      </c>
      <c r="B13" s="2">
        <v>45128</v>
      </c>
      <c r="C13" s="3">
        <v>3</v>
      </c>
      <c r="D13" s="2"/>
      <c r="E13"/>
    </row>
    <row r="14" spans="1:11" x14ac:dyDescent="0.25">
      <c r="A14" s="1">
        <v>456</v>
      </c>
      <c r="B14" s="2">
        <v>45129</v>
      </c>
      <c r="C14" s="3">
        <v>5</v>
      </c>
      <c r="D14" s="2"/>
      <c r="E14"/>
    </row>
    <row r="15" spans="1:11" x14ac:dyDescent="0.25">
      <c r="A15" s="1">
        <v>46</v>
      </c>
      <c r="B15" s="2">
        <v>45130</v>
      </c>
      <c r="C15" s="3">
        <v>3</v>
      </c>
      <c r="D15" s="2"/>
      <c r="E15"/>
    </row>
    <row r="16" spans="1:11" x14ac:dyDescent="0.25">
      <c r="A16" s="1">
        <v>44534</v>
      </c>
      <c r="B16" s="2">
        <v>45131</v>
      </c>
      <c r="C16" s="3">
        <v>10</v>
      </c>
      <c r="D16" s="2"/>
      <c r="E16"/>
    </row>
    <row r="17" spans="1:5" x14ac:dyDescent="0.25">
      <c r="A17" s="1">
        <v>345235</v>
      </c>
      <c r="B17" s="2">
        <v>45132</v>
      </c>
      <c r="C17" s="3">
        <v>3</v>
      </c>
      <c r="D17" s="2"/>
      <c r="E17"/>
    </row>
    <row r="18" spans="1:5" x14ac:dyDescent="0.25">
      <c r="A18" s="1">
        <v>234</v>
      </c>
      <c r="B18" s="2">
        <v>45133</v>
      </c>
      <c r="C18" s="3">
        <v>3</v>
      </c>
      <c r="D18" s="2"/>
      <c r="E18"/>
    </row>
    <row r="19" spans="1:5" x14ac:dyDescent="0.25">
      <c r="A19" s="1">
        <v>32</v>
      </c>
      <c r="B19" s="2">
        <v>45134</v>
      </c>
      <c r="C19" s="3">
        <v>3</v>
      </c>
      <c r="D19" s="2"/>
      <c r="E19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99FC3-E925-4AD1-8EF8-A0F0C82E9FB4}">
  <dimension ref="A5:D26"/>
  <sheetViews>
    <sheetView showGridLines="0" zoomScaleNormal="100" workbookViewId="0">
      <selection activeCell="B29" sqref="B29"/>
    </sheetView>
  </sheetViews>
  <sheetFormatPr defaultRowHeight="15" x14ac:dyDescent="0.25"/>
  <cols>
    <col min="1" max="1" width="65.42578125" bestFit="1" customWidth="1"/>
    <col min="2" max="2" width="21.85546875" bestFit="1" customWidth="1"/>
    <col min="3" max="3" width="27.28515625" bestFit="1" customWidth="1"/>
    <col min="4" max="4" width="10" bestFit="1" customWidth="1"/>
  </cols>
  <sheetData>
    <row r="5" spans="1:4" x14ac:dyDescent="0.25">
      <c r="A5" s="8"/>
      <c r="B5" s="9" t="s">
        <v>7</v>
      </c>
      <c r="C5" s="9" t="s">
        <v>8</v>
      </c>
      <c r="D5" s="9" t="s">
        <v>9</v>
      </c>
    </row>
    <row r="6" spans="1:4" x14ac:dyDescent="0.25">
      <c r="A6" s="10" t="s">
        <v>10</v>
      </c>
      <c r="B6" s="8"/>
      <c r="C6" s="8"/>
      <c r="D6" s="8"/>
    </row>
    <row r="14" spans="1:4" x14ac:dyDescent="0.25">
      <c r="B14" s="9" t="s">
        <v>11</v>
      </c>
      <c r="C14" s="9" t="s">
        <v>12</v>
      </c>
      <c r="D14" s="9" t="s">
        <v>21</v>
      </c>
    </row>
    <row r="15" spans="1:4" x14ac:dyDescent="0.25">
      <c r="B15" s="8" t="s">
        <v>13</v>
      </c>
      <c r="C15" s="8"/>
      <c r="D15" s="8"/>
    </row>
    <row r="16" spans="1:4" x14ac:dyDescent="0.25">
      <c r="B16" s="8" t="s">
        <v>14</v>
      </c>
      <c r="C16" s="8"/>
      <c r="D16" s="8"/>
    </row>
    <row r="17" spans="2:4" x14ac:dyDescent="0.25">
      <c r="B17" s="8" t="s">
        <v>15</v>
      </c>
      <c r="C17" s="8"/>
      <c r="D17" s="8"/>
    </row>
    <row r="23" spans="2:4" x14ac:dyDescent="0.25">
      <c r="B23" s="9" t="s">
        <v>16</v>
      </c>
      <c r="C23" s="9" t="s">
        <v>17</v>
      </c>
    </row>
    <row r="24" spans="2:4" x14ac:dyDescent="0.25">
      <c r="B24" s="8" t="s">
        <v>18</v>
      </c>
      <c r="C24" s="8"/>
    </row>
    <row r="25" spans="2:4" x14ac:dyDescent="0.25">
      <c r="B25" s="8" t="s">
        <v>19</v>
      </c>
      <c r="C25" s="8"/>
    </row>
    <row r="26" spans="2:4" x14ac:dyDescent="0.25">
      <c r="B26" s="8" t="s">
        <v>20</v>
      </c>
      <c r="C26" s="8"/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0F914-CE2D-49E7-8826-A1E17C1284FA}">
  <dimension ref="B2:M15"/>
  <sheetViews>
    <sheetView showGridLines="0" zoomScale="90" zoomScaleNormal="90" workbookViewId="0">
      <selection activeCell="M7" sqref="M7"/>
    </sheetView>
  </sheetViews>
  <sheetFormatPr defaultRowHeight="21" customHeight="1" x14ac:dyDescent="0.25"/>
  <cols>
    <col min="1" max="1" width="4.7109375" style="11" customWidth="1"/>
    <col min="2" max="2" width="13.5703125" style="11" bestFit="1" customWidth="1"/>
    <col min="3" max="3" width="10.28515625" style="11" bestFit="1" customWidth="1"/>
    <col min="4" max="4" width="26" style="11" bestFit="1" customWidth="1"/>
    <col min="5" max="6" width="6.5703125" style="11" bestFit="1" customWidth="1"/>
    <col min="7" max="7" width="8.5703125" style="11" bestFit="1" customWidth="1"/>
    <col min="8" max="8" width="12.42578125" style="11" bestFit="1" customWidth="1"/>
    <col min="9" max="9" width="10" style="11" bestFit="1" customWidth="1"/>
    <col min="10" max="11" width="6.42578125" style="11" customWidth="1"/>
    <col min="12" max="12" width="19.7109375" style="11" customWidth="1"/>
    <col min="13" max="13" width="32.7109375" style="11" customWidth="1"/>
    <col min="14" max="16384" width="9.140625" style="11"/>
  </cols>
  <sheetData>
    <row r="2" spans="2:13" ht="21" customHeight="1" x14ac:dyDescent="0.25">
      <c r="B2" s="84" t="s">
        <v>22</v>
      </c>
      <c r="C2" s="84"/>
      <c r="D2" s="84"/>
      <c r="E2" s="84"/>
      <c r="F2" s="84"/>
      <c r="G2" s="84"/>
      <c r="H2" s="84"/>
      <c r="I2" s="84"/>
    </row>
    <row r="3" spans="2:13" ht="21" customHeight="1" x14ac:dyDescent="0.25"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</row>
    <row r="4" spans="2:13" ht="21" customHeight="1" x14ac:dyDescent="0.25">
      <c r="B4" s="12" t="s">
        <v>23</v>
      </c>
      <c r="C4" s="12" t="s">
        <v>24</v>
      </c>
      <c r="D4" s="12" t="s">
        <v>25</v>
      </c>
      <c r="E4" s="12" t="s">
        <v>26</v>
      </c>
      <c r="F4" s="12" t="s">
        <v>27</v>
      </c>
      <c r="G4" s="12" t="s">
        <v>28</v>
      </c>
      <c r="H4" s="12" t="s">
        <v>29</v>
      </c>
      <c r="I4" s="12" t="s">
        <v>30</v>
      </c>
    </row>
    <row r="5" spans="2:13" ht="21" customHeight="1" x14ac:dyDescent="0.25">
      <c r="B5" s="13" t="s">
        <v>31</v>
      </c>
      <c r="C5" s="13" t="s">
        <v>32</v>
      </c>
      <c r="D5" s="13" t="s">
        <v>33</v>
      </c>
      <c r="E5" s="14">
        <v>1998</v>
      </c>
      <c r="F5" s="13" t="s">
        <v>34</v>
      </c>
      <c r="G5" s="14">
        <v>130000</v>
      </c>
      <c r="H5" s="15">
        <v>12900</v>
      </c>
      <c r="I5" s="13" t="s">
        <v>35</v>
      </c>
      <c r="L5" s="85" t="s">
        <v>36</v>
      </c>
      <c r="M5" s="85"/>
    </row>
    <row r="6" spans="2:13" ht="21" customHeight="1" x14ac:dyDescent="0.25">
      <c r="B6" s="13" t="s">
        <v>37</v>
      </c>
      <c r="C6" s="13" t="s">
        <v>32</v>
      </c>
      <c r="D6" s="13" t="s">
        <v>38</v>
      </c>
      <c r="E6" s="14">
        <v>2002</v>
      </c>
      <c r="F6" s="13" t="s">
        <v>39</v>
      </c>
      <c r="G6" s="14">
        <v>11000</v>
      </c>
      <c r="H6" s="15">
        <v>16900</v>
      </c>
      <c r="I6" s="13" t="s">
        <v>35</v>
      </c>
      <c r="L6" s="86"/>
      <c r="M6" s="86"/>
    </row>
    <row r="7" spans="2:13" ht="21" customHeight="1" x14ac:dyDescent="0.25">
      <c r="B7" s="13" t="s">
        <v>40</v>
      </c>
      <c r="C7" s="13" t="s">
        <v>41</v>
      </c>
      <c r="D7" s="13" t="s">
        <v>42</v>
      </c>
      <c r="E7" s="14">
        <v>2007</v>
      </c>
      <c r="F7" s="13" t="s">
        <v>43</v>
      </c>
      <c r="G7" s="14">
        <v>90800</v>
      </c>
      <c r="H7" s="15">
        <v>17900</v>
      </c>
      <c r="I7" s="13" t="s">
        <v>35</v>
      </c>
      <c r="L7" s="16" t="s">
        <v>23</v>
      </c>
      <c r="M7" s="17" t="s">
        <v>60</v>
      </c>
    </row>
    <row r="8" spans="2:13" ht="21" customHeight="1" x14ac:dyDescent="0.25">
      <c r="B8" s="13" t="s">
        <v>45</v>
      </c>
      <c r="C8" s="13" t="s">
        <v>46</v>
      </c>
      <c r="D8" s="13" t="s">
        <v>47</v>
      </c>
      <c r="E8" s="14">
        <v>2009</v>
      </c>
      <c r="F8" s="13" t="s">
        <v>48</v>
      </c>
      <c r="G8" s="14">
        <v>98600</v>
      </c>
      <c r="H8" s="15">
        <v>18900</v>
      </c>
      <c r="I8" s="13" t="s">
        <v>35</v>
      </c>
      <c r="L8" s="18" t="s">
        <v>25</v>
      </c>
      <c r="M8" s="19"/>
    </row>
    <row r="9" spans="2:13" ht="21" customHeight="1" x14ac:dyDescent="0.25">
      <c r="B9" s="13" t="s">
        <v>44</v>
      </c>
      <c r="C9" s="13" t="s">
        <v>49</v>
      </c>
      <c r="D9" s="13" t="s">
        <v>50</v>
      </c>
      <c r="E9" s="14">
        <v>2007</v>
      </c>
      <c r="F9" s="13" t="s">
        <v>39</v>
      </c>
      <c r="G9" s="14">
        <v>80000</v>
      </c>
      <c r="H9" s="15">
        <v>19900</v>
      </c>
      <c r="I9" s="13" t="s">
        <v>35</v>
      </c>
      <c r="L9" s="18" t="s">
        <v>26</v>
      </c>
      <c r="M9" s="19"/>
    </row>
    <row r="10" spans="2:13" ht="21" customHeight="1" x14ac:dyDescent="0.25">
      <c r="B10" s="13" t="s">
        <v>51</v>
      </c>
      <c r="C10" s="13" t="s">
        <v>52</v>
      </c>
      <c r="D10" s="13" t="s">
        <v>53</v>
      </c>
      <c r="E10" s="14">
        <v>2000</v>
      </c>
      <c r="F10" s="13" t="s">
        <v>54</v>
      </c>
      <c r="G10" s="14">
        <v>125000</v>
      </c>
      <c r="H10" s="15">
        <v>9900</v>
      </c>
      <c r="I10" s="13" t="s">
        <v>35</v>
      </c>
      <c r="L10" s="18" t="s">
        <v>27</v>
      </c>
      <c r="M10" s="19"/>
    </row>
    <row r="11" spans="2:13" ht="21" customHeight="1" x14ac:dyDescent="0.25">
      <c r="B11" s="13" t="s">
        <v>55</v>
      </c>
      <c r="C11" s="13" t="s">
        <v>56</v>
      </c>
      <c r="D11" s="13" t="s">
        <v>57</v>
      </c>
      <c r="E11" s="14">
        <v>2000</v>
      </c>
      <c r="F11" s="13" t="s">
        <v>58</v>
      </c>
      <c r="G11" s="14">
        <v>147000</v>
      </c>
      <c r="H11" s="15">
        <v>17800</v>
      </c>
      <c r="I11" s="13" t="s">
        <v>59</v>
      </c>
      <c r="L11" s="18" t="s">
        <v>29</v>
      </c>
      <c r="M11" s="19"/>
    </row>
    <row r="12" spans="2:13" ht="21" customHeight="1" x14ac:dyDescent="0.25">
      <c r="B12" s="13" t="s">
        <v>60</v>
      </c>
      <c r="C12" s="13" t="s">
        <v>61</v>
      </c>
      <c r="D12" s="13" t="s">
        <v>62</v>
      </c>
      <c r="E12" s="14">
        <v>2009</v>
      </c>
      <c r="F12" s="13" t="s">
        <v>63</v>
      </c>
      <c r="G12" s="14">
        <v>92000</v>
      </c>
      <c r="H12" s="15">
        <v>21900</v>
      </c>
      <c r="I12" s="13" t="s">
        <v>59</v>
      </c>
    </row>
    <row r="13" spans="2:13" ht="21" customHeight="1" x14ac:dyDescent="0.25">
      <c r="B13" s="13" t="s">
        <v>64</v>
      </c>
      <c r="C13" s="13" t="s">
        <v>65</v>
      </c>
      <c r="D13" s="13" t="s">
        <v>66</v>
      </c>
      <c r="E13" s="14">
        <v>2004</v>
      </c>
      <c r="F13" s="13" t="s">
        <v>54</v>
      </c>
      <c r="G13" s="14">
        <v>102420</v>
      </c>
      <c r="H13" s="15">
        <v>24980</v>
      </c>
      <c r="I13" s="13" t="s">
        <v>59</v>
      </c>
    </row>
    <row r="14" spans="2:13" ht="21" customHeight="1" x14ac:dyDescent="0.25">
      <c r="B14" s="13" t="s">
        <v>67</v>
      </c>
      <c r="C14" s="13" t="s">
        <v>52</v>
      </c>
      <c r="D14" s="13" t="s">
        <v>68</v>
      </c>
      <c r="E14" s="14">
        <v>2012</v>
      </c>
      <c r="F14" s="13" t="s">
        <v>39</v>
      </c>
      <c r="G14" s="14">
        <v>48075</v>
      </c>
      <c r="H14" s="15">
        <v>32990</v>
      </c>
      <c r="I14" s="13" t="s">
        <v>59</v>
      </c>
    </row>
    <row r="15" spans="2:13" ht="21" customHeight="1" x14ac:dyDescent="0.25">
      <c r="B15" s="13" t="s">
        <v>69</v>
      </c>
      <c r="C15" s="13" t="s">
        <v>70</v>
      </c>
      <c r="D15" s="13" t="s">
        <v>71</v>
      </c>
      <c r="E15" s="14">
        <v>2013</v>
      </c>
      <c r="F15" s="13" t="s">
        <v>72</v>
      </c>
      <c r="G15" s="14">
        <v>28784</v>
      </c>
      <c r="H15" s="15">
        <v>55190</v>
      </c>
      <c r="I15" s="13" t="s">
        <v>59</v>
      </c>
    </row>
  </sheetData>
  <mergeCells count="2">
    <mergeCell ref="B2:I2"/>
    <mergeCell ref="L5:M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C3BD3-8488-4275-8CE4-96FC52CD8AD8}">
  <dimension ref="A1:H25"/>
  <sheetViews>
    <sheetView zoomScale="80" zoomScaleNormal="80" workbookViewId="0">
      <selection activeCell="C35" sqref="C35"/>
    </sheetView>
  </sheetViews>
  <sheetFormatPr defaultRowHeight="15" x14ac:dyDescent="0.25"/>
  <cols>
    <col min="1" max="1" width="13.5703125" bestFit="1" customWidth="1"/>
    <col min="2" max="2" width="13.28515625" bestFit="1" customWidth="1"/>
    <col min="3" max="3" width="26" bestFit="1" customWidth="1"/>
    <col min="4" max="5" width="6.5703125" bestFit="1" customWidth="1"/>
    <col min="6" max="6" width="9.28515625" bestFit="1" customWidth="1"/>
    <col min="7" max="7" width="13.42578125" bestFit="1" customWidth="1"/>
    <col min="8" max="8" width="10" bestFit="1" customWidth="1"/>
  </cols>
  <sheetData>
    <row r="1" spans="1:8" x14ac:dyDescent="0.25">
      <c r="A1" s="12" t="s">
        <v>23</v>
      </c>
      <c r="B1" s="12" t="s">
        <v>24</v>
      </c>
      <c r="C1" s="12" t="s">
        <v>25</v>
      </c>
      <c r="D1" s="12" t="s">
        <v>26</v>
      </c>
      <c r="E1" s="12" t="s">
        <v>27</v>
      </c>
      <c r="F1" s="12" t="s">
        <v>28</v>
      </c>
      <c r="G1" s="12" t="s">
        <v>29</v>
      </c>
      <c r="H1" s="12" t="s">
        <v>30</v>
      </c>
    </row>
    <row r="2" spans="1:8" x14ac:dyDescent="0.25">
      <c r="A2" s="13" t="s">
        <v>31</v>
      </c>
      <c r="B2" s="13" t="s">
        <v>32</v>
      </c>
      <c r="C2" s="13" t="s">
        <v>33</v>
      </c>
      <c r="D2" s="14">
        <v>1998</v>
      </c>
      <c r="E2" s="13" t="s">
        <v>34</v>
      </c>
      <c r="F2" s="14">
        <v>130000</v>
      </c>
      <c r="G2" s="15">
        <v>12900</v>
      </c>
      <c r="H2" s="13" t="s">
        <v>35</v>
      </c>
    </row>
    <row r="3" spans="1:8" x14ac:dyDescent="0.25">
      <c r="A3" s="13" t="s">
        <v>37</v>
      </c>
      <c r="B3" s="13" t="s">
        <v>32</v>
      </c>
      <c r="C3" s="13" t="s">
        <v>38</v>
      </c>
      <c r="D3" s="14">
        <v>2002</v>
      </c>
      <c r="E3" s="13" t="s">
        <v>39</v>
      </c>
      <c r="F3" s="14">
        <v>11000</v>
      </c>
      <c r="G3" s="15">
        <v>16900</v>
      </c>
      <c r="H3" s="13" t="s">
        <v>35</v>
      </c>
    </row>
    <row r="4" spans="1:8" x14ac:dyDescent="0.25">
      <c r="A4" s="13" t="s">
        <v>40</v>
      </c>
      <c r="B4" s="13" t="s">
        <v>41</v>
      </c>
      <c r="C4" s="13" t="s">
        <v>42</v>
      </c>
      <c r="D4" s="14">
        <v>2007</v>
      </c>
      <c r="E4" s="13" t="s">
        <v>43</v>
      </c>
      <c r="F4" s="14">
        <v>90800</v>
      </c>
      <c r="G4" s="15">
        <v>17900</v>
      </c>
      <c r="H4" s="13" t="s">
        <v>35</v>
      </c>
    </row>
    <row r="5" spans="1:8" x14ac:dyDescent="0.25">
      <c r="A5" s="13" t="s">
        <v>45</v>
      </c>
      <c r="B5" s="13" t="s">
        <v>46</v>
      </c>
      <c r="C5" s="13" t="s">
        <v>47</v>
      </c>
      <c r="D5" s="14">
        <v>2009</v>
      </c>
      <c r="E5" s="13" t="s">
        <v>48</v>
      </c>
      <c r="F5" s="14">
        <v>98600</v>
      </c>
      <c r="G5" s="15">
        <v>18900</v>
      </c>
      <c r="H5" s="13" t="s">
        <v>35</v>
      </c>
    </row>
    <row r="6" spans="1:8" x14ac:dyDescent="0.25">
      <c r="A6" s="13" t="s">
        <v>44</v>
      </c>
      <c r="B6" s="13" t="s">
        <v>49</v>
      </c>
      <c r="C6" s="13" t="s">
        <v>50</v>
      </c>
      <c r="D6" s="14">
        <v>2007</v>
      </c>
      <c r="E6" s="13" t="s">
        <v>39</v>
      </c>
      <c r="F6" s="14">
        <v>80000</v>
      </c>
      <c r="G6" s="15">
        <v>19900</v>
      </c>
      <c r="H6" s="13" t="s">
        <v>35</v>
      </c>
    </row>
    <row r="7" spans="1:8" x14ac:dyDescent="0.25">
      <c r="A7" s="13" t="s">
        <v>51</v>
      </c>
      <c r="B7" s="13" t="s">
        <v>52</v>
      </c>
      <c r="C7" s="13" t="s">
        <v>53</v>
      </c>
      <c r="D7" s="14">
        <v>2000</v>
      </c>
      <c r="E7" s="13" t="s">
        <v>54</v>
      </c>
      <c r="F7" s="14">
        <v>125000</v>
      </c>
      <c r="G7" s="15">
        <v>9900</v>
      </c>
      <c r="H7" s="13" t="s">
        <v>35</v>
      </c>
    </row>
    <row r="8" spans="1:8" x14ac:dyDescent="0.25">
      <c r="A8" s="13" t="s">
        <v>55</v>
      </c>
      <c r="B8" s="13" t="s">
        <v>56</v>
      </c>
      <c r="C8" s="13" t="s">
        <v>57</v>
      </c>
      <c r="D8" s="14">
        <v>2000</v>
      </c>
      <c r="E8" s="13" t="s">
        <v>58</v>
      </c>
      <c r="F8" s="14">
        <v>147000</v>
      </c>
      <c r="G8" s="15">
        <v>17800</v>
      </c>
      <c r="H8" s="13" t="s">
        <v>59</v>
      </c>
    </row>
    <row r="9" spans="1:8" x14ac:dyDescent="0.25">
      <c r="A9" s="13" t="s">
        <v>60</v>
      </c>
      <c r="B9" s="13" t="s">
        <v>61</v>
      </c>
      <c r="C9" s="13" t="s">
        <v>62</v>
      </c>
      <c r="D9" s="14">
        <v>2009</v>
      </c>
      <c r="E9" s="13" t="s">
        <v>63</v>
      </c>
      <c r="F9" s="14">
        <v>92000</v>
      </c>
      <c r="G9" s="15">
        <v>21900</v>
      </c>
      <c r="H9" s="13" t="s">
        <v>59</v>
      </c>
    </row>
    <row r="10" spans="1:8" x14ac:dyDescent="0.25">
      <c r="A10" s="13" t="s">
        <v>64</v>
      </c>
      <c r="B10" s="13" t="s">
        <v>65</v>
      </c>
      <c r="C10" s="13" t="s">
        <v>66</v>
      </c>
      <c r="D10" s="14">
        <v>2004</v>
      </c>
      <c r="E10" s="13" t="s">
        <v>54</v>
      </c>
      <c r="F10" s="14">
        <v>102420</v>
      </c>
      <c r="G10" s="15">
        <v>24980</v>
      </c>
      <c r="H10" s="13" t="s">
        <v>59</v>
      </c>
    </row>
    <row r="11" spans="1:8" x14ac:dyDescent="0.25">
      <c r="A11" s="13" t="s">
        <v>67</v>
      </c>
      <c r="B11" s="13" t="s">
        <v>52</v>
      </c>
      <c r="C11" s="13" t="s">
        <v>68</v>
      </c>
      <c r="D11" s="14">
        <v>2012</v>
      </c>
      <c r="E11" s="13" t="s">
        <v>39</v>
      </c>
      <c r="F11" s="14">
        <v>48075</v>
      </c>
      <c r="G11" s="15">
        <v>32990</v>
      </c>
      <c r="H11" s="13" t="s">
        <v>59</v>
      </c>
    </row>
    <row r="12" spans="1:8" x14ac:dyDescent="0.25">
      <c r="A12" s="13" t="s">
        <v>69</v>
      </c>
      <c r="B12" s="13" t="s">
        <v>70</v>
      </c>
      <c r="C12" s="13" t="s">
        <v>71</v>
      </c>
      <c r="D12" s="14">
        <v>2013</v>
      </c>
      <c r="E12" s="13" t="s">
        <v>72</v>
      </c>
      <c r="F12" s="14">
        <v>28784</v>
      </c>
      <c r="G12" s="15">
        <v>55190</v>
      </c>
      <c r="H12" s="13" t="s">
        <v>59</v>
      </c>
    </row>
    <row r="14" spans="1:8" x14ac:dyDescent="0.25">
      <c r="A14" s="12" t="s">
        <v>23</v>
      </c>
      <c r="B14" s="12" t="s">
        <v>24</v>
      </c>
      <c r="C14" s="12" t="s">
        <v>25</v>
      </c>
      <c r="D14" s="12" t="s">
        <v>26</v>
      </c>
      <c r="E14" s="12" t="s">
        <v>27</v>
      </c>
      <c r="F14" s="12" t="s">
        <v>28</v>
      </c>
      <c r="G14" s="12" t="s">
        <v>29</v>
      </c>
      <c r="H14" s="12" t="s">
        <v>30</v>
      </c>
    </row>
    <row r="15" spans="1:8" x14ac:dyDescent="0.25">
      <c r="A15" s="13" t="s">
        <v>73</v>
      </c>
      <c r="B15" s="13" t="str">
        <f>IFERROR(VLOOKUP($A15,$A$1:$H$12,2,),"Não Encontrado")</f>
        <v>Não Encontrado</v>
      </c>
      <c r="C15" s="13"/>
      <c r="D15" s="13"/>
      <c r="E15" s="13"/>
      <c r="F15" s="13"/>
      <c r="G15" s="13"/>
      <c r="H15" s="13"/>
    </row>
    <row r="16" spans="1:8" x14ac:dyDescent="0.25">
      <c r="A16" s="13" t="s">
        <v>37</v>
      </c>
      <c r="B16" s="13" t="str">
        <f t="shared" ref="B16:B25" si="0">IFERROR(VLOOKUP($A16,$A$1:$H$12,2,),"Não Encontrado")</f>
        <v>Chevrolet</v>
      </c>
      <c r="C16" s="13" t="str">
        <f t="shared" ref="C16:C25" si="1">VLOOKUP($A16,$A$1:$H$12,3,)</f>
        <v>Astra Hatch CD 2.0 8V</v>
      </c>
      <c r="D16" s="13">
        <f t="shared" ref="D16:D25" si="2">VLOOKUP($A16,$A$1:$H$12,4,)</f>
        <v>2002</v>
      </c>
      <c r="E16" s="13" t="str">
        <f t="shared" ref="E16:E25" si="3">VLOOKUP($A16,$A$1:$H$12,5,)</f>
        <v>Prata</v>
      </c>
      <c r="F16" s="14"/>
      <c r="G16" s="15"/>
      <c r="H16" s="13"/>
    </row>
    <row r="17" spans="1:8" x14ac:dyDescent="0.25">
      <c r="A17" s="13" t="s">
        <v>40</v>
      </c>
      <c r="B17" s="13" t="str">
        <f t="shared" si="0"/>
        <v>Renault</v>
      </c>
      <c r="C17" s="13" t="str">
        <f t="shared" si="1"/>
        <v>Clio Sedan Privilége 1.0 16V</v>
      </c>
      <c r="D17" s="13">
        <f t="shared" si="2"/>
        <v>2007</v>
      </c>
      <c r="E17" s="13" t="str">
        <f t="shared" si="3"/>
        <v>Bege</v>
      </c>
      <c r="F17" s="14"/>
      <c r="G17" s="15"/>
      <c r="H17" s="13"/>
    </row>
    <row r="18" spans="1:8" x14ac:dyDescent="0.25">
      <c r="A18" s="13" t="s">
        <v>45</v>
      </c>
      <c r="B18" s="13" t="str">
        <f t="shared" si="0"/>
        <v>Volkswagen</v>
      </c>
      <c r="C18" s="13" t="str">
        <f t="shared" si="1"/>
        <v>Gol 1.0 (G4)</v>
      </c>
      <c r="D18" s="13">
        <f t="shared" si="2"/>
        <v>2009</v>
      </c>
      <c r="E18" s="13" t="str">
        <f t="shared" si="3"/>
        <v>Preto</v>
      </c>
      <c r="F18" s="14"/>
      <c r="G18" s="15"/>
      <c r="H18" s="13"/>
    </row>
    <row r="19" spans="1:8" x14ac:dyDescent="0.25">
      <c r="A19" s="13" t="s">
        <v>74</v>
      </c>
      <c r="B19" s="13" t="str">
        <f t="shared" si="0"/>
        <v>Não Encontrado</v>
      </c>
      <c r="C19" s="13"/>
      <c r="D19" s="13"/>
      <c r="E19" s="13"/>
      <c r="F19" s="14"/>
      <c r="G19" s="15"/>
      <c r="H19" s="13"/>
    </row>
    <row r="20" spans="1:8" x14ac:dyDescent="0.25">
      <c r="A20" s="13" t="s">
        <v>51</v>
      </c>
      <c r="B20" s="13" t="str">
        <f t="shared" si="0"/>
        <v>Fiat</v>
      </c>
      <c r="C20" s="13" t="str">
        <f t="shared" si="1"/>
        <v>Palio EX 1.0 8V Fire</v>
      </c>
      <c r="D20" s="13">
        <f t="shared" si="2"/>
        <v>2000</v>
      </c>
      <c r="E20" s="13" t="str">
        <f t="shared" si="3"/>
        <v>Cinza</v>
      </c>
      <c r="F20" s="14"/>
      <c r="G20" s="15"/>
      <c r="H20" s="13"/>
    </row>
    <row r="21" spans="1:8" x14ac:dyDescent="0.25">
      <c r="A21" s="13" t="s">
        <v>55</v>
      </c>
      <c r="B21" s="13" t="str">
        <f t="shared" si="0"/>
        <v>Toyota</v>
      </c>
      <c r="C21" s="13" t="str">
        <f t="shared" si="1"/>
        <v>Corolla Sedan Xei 1.8 16V</v>
      </c>
      <c r="D21" s="13">
        <f t="shared" si="2"/>
        <v>2000</v>
      </c>
      <c r="E21" s="13" t="str">
        <f t="shared" si="3"/>
        <v>Verde</v>
      </c>
      <c r="F21" s="14"/>
      <c r="G21" s="15"/>
      <c r="H21" s="13"/>
    </row>
    <row r="22" spans="1:8" x14ac:dyDescent="0.25">
      <c r="A22" s="13" t="s">
        <v>60</v>
      </c>
      <c r="B22" s="13" t="str">
        <f t="shared" si="0"/>
        <v>Peugeot</v>
      </c>
      <c r="C22" s="13" t="str">
        <f t="shared" si="1"/>
        <v>207 Hatch XS 1.6 16V</v>
      </c>
      <c r="D22" s="13">
        <f t="shared" si="2"/>
        <v>2009</v>
      </c>
      <c r="E22" s="13" t="str">
        <f t="shared" si="3"/>
        <v>Vinho</v>
      </c>
      <c r="F22" s="14"/>
      <c r="G22" s="15"/>
      <c r="H22" s="13"/>
    </row>
    <row r="23" spans="1:8" x14ac:dyDescent="0.25">
      <c r="A23" s="13" t="s">
        <v>64</v>
      </c>
      <c r="B23" s="13" t="str">
        <f t="shared" si="0"/>
        <v>Honda</v>
      </c>
      <c r="C23" s="13" t="str">
        <f t="shared" si="1"/>
        <v>Civic Sedan EX 1.7 16V</v>
      </c>
      <c r="D23" s="13">
        <f t="shared" si="2"/>
        <v>2004</v>
      </c>
      <c r="E23" s="13" t="str">
        <f t="shared" si="3"/>
        <v>Cinza</v>
      </c>
      <c r="F23" s="14"/>
      <c r="G23" s="15"/>
      <c r="H23" s="13"/>
    </row>
    <row r="24" spans="1:8" x14ac:dyDescent="0.25">
      <c r="A24" s="13" t="s">
        <v>67</v>
      </c>
      <c r="B24" s="13" t="str">
        <f t="shared" si="0"/>
        <v>Fiat</v>
      </c>
      <c r="C24" s="13" t="str">
        <f t="shared" si="1"/>
        <v>Linea 1.8 16V Essence Dualogic</v>
      </c>
      <c r="D24" s="13">
        <f t="shared" si="2"/>
        <v>2012</v>
      </c>
      <c r="E24" s="13" t="str">
        <f t="shared" si="3"/>
        <v>Prata</v>
      </c>
      <c r="F24" s="14"/>
      <c r="G24" s="15"/>
      <c r="H24" s="13"/>
    </row>
    <row r="25" spans="1:8" x14ac:dyDescent="0.25">
      <c r="A25" s="13" t="s">
        <v>69</v>
      </c>
      <c r="B25" s="13" t="str">
        <f t="shared" si="0"/>
        <v>Hyundai</v>
      </c>
      <c r="C25" s="13" t="str">
        <f t="shared" si="1"/>
        <v>Tucson GLS 2.0 16V</v>
      </c>
      <c r="D25" s="13">
        <f t="shared" si="2"/>
        <v>2013</v>
      </c>
      <c r="E25" s="13" t="str">
        <f t="shared" si="3"/>
        <v>Branco</v>
      </c>
      <c r="F25" s="14"/>
      <c r="G25" s="15"/>
      <c r="H25" s="13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5E934-CA24-4791-9EC3-6B6751BEEFC1}">
  <dimension ref="A2:F16"/>
  <sheetViews>
    <sheetView showGridLines="0" zoomScale="80" zoomScaleNormal="80" workbookViewId="0">
      <selection activeCell="F12" sqref="F12"/>
    </sheetView>
  </sheetViews>
  <sheetFormatPr defaultRowHeight="22.5" customHeight="1" x14ac:dyDescent="0.25"/>
  <cols>
    <col min="1" max="1" width="5.28515625" style="11" customWidth="1"/>
    <col min="2" max="2" width="12" style="11" customWidth="1"/>
    <col min="3" max="6" width="14.28515625" style="11" customWidth="1"/>
    <col min="7" max="16384" width="9.140625" style="11"/>
  </cols>
  <sheetData>
    <row r="2" spans="1:6" ht="22.5" customHeight="1" x14ac:dyDescent="0.25">
      <c r="B2" s="84" t="s">
        <v>75</v>
      </c>
      <c r="C2" s="84"/>
      <c r="D2" s="84"/>
      <c r="E2" s="84"/>
      <c r="F2" s="84"/>
    </row>
    <row r="3" spans="1:6" ht="22.5" customHeight="1" thickBot="1" x14ac:dyDescent="0.3"/>
    <row r="4" spans="1:6" ht="22.5" customHeight="1" thickBot="1" x14ac:dyDescent="0.3">
      <c r="C4" s="87" t="s">
        <v>76</v>
      </c>
      <c r="D4" s="88"/>
      <c r="E4" s="88"/>
      <c r="F4" s="88"/>
    </row>
    <row r="5" spans="1:6" ht="22.5" customHeight="1" thickBot="1" x14ac:dyDescent="0.3">
      <c r="A5" s="11">
        <v>1</v>
      </c>
      <c r="B5" s="20" t="s">
        <v>76</v>
      </c>
      <c r="C5" s="21" t="s">
        <v>77</v>
      </c>
      <c r="D5" s="22" t="s">
        <v>78</v>
      </c>
      <c r="E5" s="22" t="s">
        <v>79</v>
      </c>
      <c r="F5" s="22" t="s">
        <v>80</v>
      </c>
    </row>
    <row r="6" spans="1:6" ht="22.5" customHeight="1" x14ac:dyDescent="0.25">
      <c r="A6" s="11">
        <v>2</v>
      </c>
      <c r="B6" s="23" t="s">
        <v>81</v>
      </c>
      <c r="C6" s="24">
        <v>83.1</v>
      </c>
      <c r="D6" s="24">
        <v>104.9</v>
      </c>
      <c r="E6" s="24">
        <v>132.58000000000001</v>
      </c>
      <c r="F6" s="24">
        <v>156.34</v>
      </c>
    </row>
    <row r="7" spans="1:6" ht="22.5" customHeight="1" x14ac:dyDescent="0.25">
      <c r="A7" s="11">
        <v>3</v>
      </c>
      <c r="B7" s="23" t="s">
        <v>82</v>
      </c>
      <c r="C7" s="24">
        <v>95.21</v>
      </c>
      <c r="D7" s="24">
        <v>120.32</v>
      </c>
      <c r="E7" s="24">
        <v>152.06</v>
      </c>
      <c r="F7" s="24">
        <v>179.38</v>
      </c>
    </row>
    <row r="8" spans="1:6" ht="22.5" customHeight="1" x14ac:dyDescent="0.25">
      <c r="A8" s="11">
        <v>4</v>
      </c>
      <c r="B8" s="23" t="s">
        <v>83</v>
      </c>
      <c r="C8" s="24">
        <v>102.24</v>
      </c>
      <c r="D8" s="24">
        <v>136.59</v>
      </c>
      <c r="E8" s="24">
        <v>182.47</v>
      </c>
      <c r="F8" s="24">
        <v>220.66333333333299</v>
      </c>
    </row>
    <row r="9" spans="1:6" ht="22.5" customHeight="1" thickBot="1" x14ac:dyDescent="0.3">
      <c r="A9" s="11">
        <v>5</v>
      </c>
      <c r="B9" s="25" t="s">
        <v>84</v>
      </c>
      <c r="C9" s="26">
        <v>177.38</v>
      </c>
      <c r="D9" s="26">
        <v>242.74</v>
      </c>
      <c r="E9" s="26">
        <v>327.36</v>
      </c>
      <c r="F9" s="26">
        <v>399.14</v>
      </c>
    </row>
    <row r="11" spans="1:6" ht="22.5" customHeight="1" x14ac:dyDescent="0.25">
      <c r="D11" s="89" t="s">
        <v>85</v>
      </c>
      <c r="E11" s="89"/>
      <c r="F11" s="89"/>
    </row>
    <row r="12" spans="1:6" ht="22.5" customHeight="1" x14ac:dyDescent="0.25">
      <c r="D12" s="90" t="s">
        <v>86</v>
      </c>
      <c r="E12" s="90"/>
      <c r="F12" s="17" t="s">
        <v>79</v>
      </c>
    </row>
    <row r="13" spans="1:6" ht="22.5" customHeight="1" x14ac:dyDescent="0.25">
      <c r="D13" s="91" t="s">
        <v>87</v>
      </c>
      <c r="E13" s="27" t="s">
        <v>81</v>
      </c>
      <c r="F13" s="28"/>
    </row>
    <row r="14" spans="1:6" ht="22.5" customHeight="1" x14ac:dyDescent="0.25">
      <c r="D14" s="91"/>
      <c r="E14" s="27" t="s">
        <v>82</v>
      </c>
      <c r="F14" s="28"/>
    </row>
    <row r="15" spans="1:6" ht="22.5" customHeight="1" x14ac:dyDescent="0.25">
      <c r="D15" s="91"/>
      <c r="E15" s="27" t="s">
        <v>83</v>
      </c>
      <c r="F15" s="28"/>
    </row>
    <row r="16" spans="1:6" ht="22.5" customHeight="1" x14ac:dyDescent="0.25">
      <c r="D16" s="91"/>
      <c r="E16" s="27" t="s">
        <v>84</v>
      </c>
      <c r="F16" s="28"/>
    </row>
  </sheetData>
  <mergeCells count="5">
    <mergeCell ref="B2:F2"/>
    <mergeCell ref="C4:F4"/>
    <mergeCell ref="D11:F11"/>
    <mergeCell ref="D12:E12"/>
    <mergeCell ref="D13:D1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493C-9796-403E-BD49-FE42533CB32E}">
  <dimension ref="B1:F17"/>
  <sheetViews>
    <sheetView zoomScale="80" zoomScaleNormal="80" workbookViewId="0">
      <selection activeCell="D12" sqref="D12"/>
    </sheetView>
  </sheetViews>
  <sheetFormatPr defaultRowHeight="22.5" customHeight="1" x14ac:dyDescent="0.25"/>
  <cols>
    <col min="1" max="1" width="9.140625" style="30"/>
    <col min="2" max="2" width="29.5703125" style="30" bestFit="1" customWidth="1"/>
    <col min="3" max="3" width="23.42578125" style="30" bestFit="1" customWidth="1"/>
    <col min="4" max="4" width="19.28515625" style="30" bestFit="1" customWidth="1"/>
    <col min="5" max="5" width="22.7109375" style="30" bestFit="1" customWidth="1"/>
    <col min="6" max="6" width="15.7109375" style="30" bestFit="1" customWidth="1"/>
    <col min="7" max="16384" width="9.140625" style="30"/>
  </cols>
  <sheetData>
    <row r="1" spans="2:6" ht="22.5" customHeight="1" x14ac:dyDescent="0.25">
      <c r="B1" s="92" t="s">
        <v>88</v>
      </c>
      <c r="C1" s="92"/>
      <c r="D1" s="92"/>
      <c r="E1" s="92"/>
      <c r="F1" s="92"/>
    </row>
    <row r="2" spans="2:6" ht="22.5" customHeight="1" thickBot="1" x14ac:dyDescent="0.3">
      <c r="B2" s="29"/>
      <c r="C2" s="29"/>
      <c r="D2" s="29"/>
      <c r="E2" s="29"/>
      <c r="F2" s="29"/>
    </row>
    <row r="3" spans="2:6" ht="22.5" customHeight="1" thickBot="1" x14ac:dyDescent="0.3">
      <c r="C3" s="31" t="s">
        <v>89</v>
      </c>
      <c r="D3" s="32" t="s">
        <v>90</v>
      </c>
      <c r="E3" s="32" t="s">
        <v>91</v>
      </c>
      <c r="F3" s="33" t="s">
        <v>92</v>
      </c>
    </row>
    <row r="4" spans="2:6" ht="22.5" customHeight="1" x14ac:dyDescent="0.25">
      <c r="B4" s="34" t="s">
        <v>93</v>
      </c>
      <c r="C4" s="35" t="s">
        <v>89</v>
      </c>
      <c r="D4" s="36" t="s">
        <v>90</v>
      </c>
      <c r="E4" s="36" t="s">
        <v>94</v>
      </c>
      <c r="F4" s="37" t="s">
        <v>95</v>
      </c>
    </row>
    <row r="5" spans="2:6" ht="22.5" customHeight="1" x14ac:dyDescent="0.25">
      <c r="B5" s="38" t="s">
        <v>96</v>
      </c>
      <c r="C5" s="39" t="s">
        <v>97</v>
      </c>
      <c r="D5" s="40" t="s">
        <v>98</v>
      </c>
      <c r="E5" s="40" t="s">
        <v>99</v>
      </c>
      <c r="F5" s="41" t="s">
        <v>100</v>
      </c>
    </row>
    <row r="6" spans="2:6" ht="22.5" customHeight="1" x14ac:dyDescent="0.25">
      <c r="B6" s="38" t="s">
        <v>101</v>
      </c>
      <c r="C6" s="42">
        <v>248222.80100000001</v>
      </c>
      <c r="D6" s="43">
        <v>43780.171999999999</v>
      </c>
      <c r="E6" s="43">
        <v>586522.12199999997</v>
      </c>
      <c r="F6" s="44">
        <v>46095.582999999999</v>
      </c>
    </row>
    <row r="7" spans="2:6" ht="22.5" customHeight="1" x14ac:dyDescent="0.25">
      <c r="B7" s="38" t="s">
        <v>102</v>
      </c>
      <c r="C7" s="39" t="s">
        <v>103</v>
      </c>
      <c r="D7" s="40" t="s">
        <v>104</v>
      </c>
      <c r="E7" s="40" t="s">
        <v>105</v>
      </c>
      <c r="F7" s="41" t="s">
        <v>106</v>
      </c>
    </row>
    <row r="8" spans="2:6" ht="22.5" customHeight="1" thickBot="1" x14ac:dyDescent="0.3">
      <c r="B8" s="45" t="s">
        <v>107</v>
      </c>
      <c r="C8" s="46" t="s">
        <v>108</v>
      </c>
      <c r="D8" s="47" t="s">
        <v>105</v>
      </c>
      <c r="E8" s="47" t="s">
        <v>109</v>
      </c>
      <c r="F8" s="48" t="s">
        <v>110</v>
      </c>
    </row>
    <row r="10" spans="2:6" ht="22.5" customHeight="1" x14ac:dyDescent="0.25">
      <c r="B10" s="92" t="s">
        <v>111</v>
      </c>
      <c r="C10" s="92"/>
    </row>
    <row r="11" spans="2:6" ht="22.5" customHeight="1" thickBot="1" x14ac:dyDescent="0.3">
      <c r="B11" s="29"/>
      <c r="C11" s="29"/>
    </row>
    <row r="12" spans="2:6" ht="22.5" customHeight="1" thickBot="1" x14ac:dyDescent="0.3">
      <c r="B12" s="49" t="s">
        <v>112</v>
      </c>
      <c r="C12" s="32" t="s">
        <v>90</v>
      </c>
    </row>
    <row r="13" spans="2:6" ht="22.5" customHeight="1" x14ac:dyDescent="0.25">
      <c r="B13" s="50" t="s">
        <v>93</v>
      </c>
      <c r="C13" s="51"/>
    </row>
    <row r="14" spans="2:6" ht="22.5" customHeight="1" x14ac:dyDescent="0.25">
      <c r="B14" s="52" t="s">
        <v>96</v>
      </c>
      <c r="C14" s="53"/>
    </row>
    <row r="15" spans="2:6" ht="22.5" customHeight="1" x14ac:dyDescent="0.25">
      <c r="B15" s="52" t="s">
        <v>101</v>
      </c>
      <c r="C15" s="54"/>
    </row>
    <row r="16" spans="2:6" ht="22.5" customHeight="1" x14ac:dyDescent="0.25">
      <c r="B16" s="52" t="s">
        <v>102</v>
      </c>
      <c r="C16" s="53"/>
    </row>
    <row r="17" spans="2:3" ht="22.5" customHeight="1" thickBot="1" x14ac:dyDescent="0.3">
      <c r="B17" s="55" t="s">
        <v>107</v>
      </c>
      <c r="C17" s="56"/>
    </row>
  </sheetData>
  <mergeCells count="2">
    <mergeCell ref="B1:F1"/>
    <mergeCell ref="B10:C1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7BC16-573A-4130-9E78-55A46A8D1A42}">
  <dimension ref="C2:T20"/>
  <sheetViews>
    <sheetView showGridLines="0" topLeftCell="G2" zoomScale="80" zoomScaleNormal="80" workbookViewId="0">
      <selection activeCell="N7" sqref="N7"/>
    </sheetView>
  </sheetViews>
  <sheetFormatPr defaultRowHeight="21" customHeight="1" x14ac:dyDescent="0.25"/>
  <cols>
    <col min="1" max="1" width="9.140625" style="11"/>
    <col min="2" max="2" width="9.42578125" style="11" bestFit="1" customWidth="1"/>
    <col min="3" max="3" width="30.5703125" style="11" bestFit="1" customWidth="1"/>
    <col min="4" max="4" width="25.140625" style="11" bestFit="1" customWidth="1"/>
    <col min="5" max="5" width="19.28515625" style="11" bestFit="1" customWidth="1"/>
    <col min="6" max="6" width="23.42578125" style="57" bestFit="1" customWidth="1"/>
    <col min="7" max="7" width="16" style="11" bestFit="1" customWidth="1"/>
    <col min="8" max="8" width="9.28515625" style="11" bestFit="1" customWidth="1"/>
    <col min="9" max="9" width="13.42578125" style="11" bestFit="1" customWidth="1"/>
    <col min="10" max="10" width="10" style="11" bestFit="1" customWidth="1"/>
    <col min="11" max="12" width="6.42578125" style="11" customWidth="1"/>
    <col min="13" max="13" width="19.7109375" style="11" customWidth="1"/>
    <col min="14" max="14" width="32.7109375" style="11" customWidth="1"/>
    <col min="15" max="15" width="9.140625" style="11"/>
    <col min="16" max="16" width="30.5703125" style="11" bestFit="1" customWidth="1"/>
    <col min="17" max="17" width="24" style="11" bestFit="1" customWidth="1"/>
    <col min="18" max="18" width="19.28515625" style="11" bestFit="1" customWidth="1"/>
    <col min="19" max="19" width="23.42578125" style="11" bestFit="1" customWidth="1"/>
    <col min="20" max="20" width="16" style="11" bestFit="1" customWidth="1"/>
    <col min="21" max="16384" width="9.140625" style="11"/>
  </cols>
  <sheetData>
    <row r="2" spans="3:20" ht="21" customHeight="1" x14ac:dyDescent="0.25">
      <c r="C2" s="84"/>
      <c r="D2" s="84"/>
      <c r="E2" s="84"/>
      <c r="F2" s="84"/>
      <c r="G2" s="84"/>
      <c r="H2" s="84"/>
      <c r="I2" s="84"/>
      <c r="J2" s="84"/>
    </row>
    <row r="3" spans="3:20" ht="21" customHeight="1" x14ac:dyDescent="0.25">
      <c r="S3" s="57"/>
    </row>
    <row r="4" spans="3:20" ht="21" customHeight="1" x14ac:dyDescent="0.25">
      <c r="C4" s="12" t="s">
        <v>24</v>
      </c>
      <c r="D4" s="12" t="s">
        <v>25</v>
      </c>
      <c r="E4" s="12" t="s">
        <v>23</v>
      </c>
      <c r="F4" s="12" t="s">
        <v>26</v>
      </c>
      <c r="G4" s="12" t="s">
        <v>27</v>
      </c>
      <c r="H4" s="12" t="s">
        <v>28</v>
      </c>
      <c r="I4" s="12" t="s">
        <v>29</v>
      </c>
      <c r="J4" s="12" t="s">
        <v>30</v>
      </c>
      <c r="P4" s="92" t="s">
        <v>88</v>
      </c>
      <c r="Q4" s="92"/>
      <c r="R4" s="92"/>
      <c r="S4" s="92"/>
      <c r="T4" s="92"/>
    </row>
    <row r="5" spans="3:20" ht="21" customHeight="1" thickBot="1" x14ac:dyDescent="0.3">
      <c r="C5" s="13" t="s">
        <v>32</v>
      </c>
      <c r="D5" s="13" t="s">
        <v>33</v>
      </c>
      <c r="E5" s="13" t="s">
        <v>31</v>
      </c>
      <c r="F5" s="14">
        <v>1998</v>
      </c>
      <c r="G5" s="13" t="s">
        <v>34</v>
      </c>
      <c r="H5" s="14">
        <v>130000</v>
      </c>
      <c r="I5" s="15">
        <v>12900</v>
      </c>
      <c r="J5" s="13" t="s">
        <v>35</v>
      </c>
      <c r="M5" s="85" t="s">
        <v>36</v>
      </c>
      <c r="N5" s="85"/>
      <c r="P5" s="29"/>
      <c r="Q5" s="29"/>
      <c r="R5" s="29"/>
      <c r="S5" s="29"/>
      <c r="T5" s="29"/>
    </row>
    <row r="6" spans="3:20" ht="21" customHeight="1" thickBot="1" x14ac:dyDescent="0.3">
      <c r="C6" s="13" t="s">
        <v>32</v>
      </c>
      <c r="D6" s="13" t="s">
        <v>38</v>
      </c>
      <c r="E6" s="13" t="s">
        <v>37</v>
      </c>
      <c r="F6" s="14">
        <v>2002</v>
      </c>
      <c r="G6" s="13" t="s">
        <v>39</v>
      </c>
      <c r="H6" s="14">
        <v>11000</v>
      </c>
      <c r="I6" s="15">
        <v>16900</v>
      </c>
      <c r="J6" s="13" t="s">
        <v>35</v>
      </c>
      <c r="M6" s="86"/>
      <c r="N6" s="86"/>
      <c r="P6" s="30"/>
      <c r="Q6" s="31" t="s">
        <v>89</v>
      </c>
      <c r="R6" s="32" t="s">
        <v>90</v>
      </c>
      <c r="S6" s="32" t="s">
        <v>91</v>
      </c>
      <c r="T6" s="33" t="s">
        <v>92</v>
      </c>
    </row>
    <row r="7" spans="3:20" ht="21" customHeight="1" x14ac:dyDescent="0.25">
      <c r="C7" s="13" t="s">
        <v>41</v>
      </c>
      <c r="D7" s="13" t="s">
        <v>42</v>
      </c>
      <c r="E7" s="13" t="s">
        <v>40</v>
      </c>
      <c r="F7" s="14">
        <v>2007</v>
      </c>
      <c r="G7" s="13" t="s">
        <v>43</v>
      </c>
      <c r="H7" s="14">
        <v>90800</v>
      </c>
      <c r="I7" s="15">
        <v>17900</v>
      </c>
      <c r="J7" s="13" t="s">
        <v>35</v>
      </c>
      <c r="M7" s="16" t="s">
        <v>23</v>
      </c>
      <c r="N7" s="17" t="s">
        <v>60</v>
      </c>
      <c r="P7" s="34" t="s">
        <v>93</v>
      </c>
      <c r="Q7" s="35" t="s">
        <v>89</v>
      </c>
      <c r="R7" s="36" t="s">
        <v>90</v>
      </c>
      <c r="S7" s="36" t="s">
        <v>94</v>
      </c>
      <c r="T7" s="37" t="s">
        <v>95</v>
      </c>
    </row>
    <row r="8" spans="3:20" ht="21" customHeight="1" x14ac:dyDescent="0.25">
      <c r="C8" s="13" t="s">
        <v>46</v>
      </c>
      <c r="D8" s="13" t="s">
        <v>47</v>
      </c>
      <c r="E8" s="13" t="s">
        <v>45</v>
      </c>
      <c r="F8" s="14">
        <v>2009</v>
      </c>
      <c r="G8" s="13" t="s">
        <v>48</v>
      </c>
      <c r="H8" s="14">
        <v>98600</v>
      </c>
      <c r="I8" s="15">
        <v>18900</v>
      </c>
      <c r="J8" s="13" t="s">
        <v>35</v>
      </c>
      <c r="M8" s="18" t="s">
        <v>25</v>
      </c>
      <c r="N8" s="19"/>
      <c r="P8" s="38" t="s">
        <v>96</v>
      </c>
      <c r="Q8" s="39" t="s">
        <v>97</v>
      </c>
      <c r="R8" s="40" t="s">
        <v>98</v>
      </c>
      <c r="S8" s="40" t="s">
        <v>99</v>
      </c>
      <c r="T8" s="41" t="s">
        <v>100</v>
      </c>
    </row>
    <row r="9" spans="3:20" ht="21" customHeight="1" x14ac:dyDescent="0.25">
      <c r="C9" s="13" t="s">
        <v>49</v>
      </c>
      <c r="D9" s="13" t="s">
        <v>50</v>
      </c>
      <c r="E9" s="13" t="s">
        <v>44</v>
      </c>
      <c r="F9" s="14">
        <v>2007</v>
      </c>
      <c r="G9" s="13" t="s">
        <v>39</v>
      </c>
      <c r="H9" s="14">
        <v>80000</v>
      </c>
      <c r="I9" s="15">
        <v>19900</v>
      </c>
      <c r="J9" s="13" t="s">
        <v>35</v>
      </c>
      <c r="M9" s="18" t="s">
        <v>26</v>
      </c>
      <c r="N9" s="19"/>
      <c r="P9" s="38" t="s">
        <v>101</v>
      </c>
      <c r="Q9" s="42">
        <v>248222.80100000001</v>
      </c>
      <c r="R9" s="43">
        <v>43780.171999999999</v>
      </c>
      <c r="S9" s="43">
        <v>586522.12199999997</v>
      </c>
      <c r="T9" s="44">
        <v>46095.582999999999</v>
      </c>
    </row>
    <row r="10" spans="3:20" ht="21" customHeight="1" x14ac:dyDescent="0.25">
      <c r="C10" s="13" t="s">
        <v>52</v>
      </c>
      <c r="D10" s="13" t="s">
        <v>53</v>
      </c>
      <c r="E10" s="13" t="s">
        <v>51</v>
      </c>
      <c r="F10" s="14">
        <v>2000</v>
      </c>
      <c r="G10" s="13" t="s">
        <v>54</v>
      </c>
      <c r="H10" s="14">
        <v>125000</v>
      </c>
      <c r="I10" s="15">
        <v>9900</v>
      </c>
      <c r="J10" s="13" t="s">
        <v>35</v>
      </c>
      <c r="M10" s="18" t="s">
        <v>27</v>
      </c>
      <c r="N10" s="19"/>
      <c r="P10" s="38" t="s">
        <v>102</v>
      </c>
      <c r="Q10" s="39" t="s">
        <v>103</v>
      </c>
      <c r="R10" s="40" t="s">
        <v>104</v>
      </c>
      <c r="S10" s="40" t="s">
        <v>105</v>
      </c>
      <c r="T10" s="41" t="s">
        <v>106</v>
      </c>
    </row>
    <row r="11" spans="3:20" ht="21" customHeight="1" thickBot="1" x14ac:dyDescent="0.3">
      <c r="C11" s="13" t="s">
        <v>56</v>
      </c>
      <c r="D11" s="13" t="s">
        <v>57</v>
      </c>
      <c r="E11" s="13" t="s">
        <v>55</v>
      </c>
      <c r="F11" s="14">
        <v>2000</v>
      </c>
      <c r="G11" s="13" t="s">
        <v>58</v>
      </c>
      <c r="H11" s="14">
        <v>147000</v>
      </c>
      <c r="I11" s="15">
        <v>17800</v>
      </c>
      <c r="J11" s="13" t="s">
        <v>59</v>
      </c>
      <c r="M11" s="18" t="s">
        <v>29</v>
      </c>
      <c r="N11" s="19"/>
      <c r="P11" s="45" t="s">
        <v>107</v>
      </c>
      <c r="Q11" s="46" t="s">
        <v>108</v>
      </c>
      <c r="R11" s="47" t="s">
        <v>105</v>
      </c>
      <c r="S11" s="47" t="s">
        <v>109</v>
      </c>
      <c r="T11" s="48" t="s">
        <v>110</v>
      </c>
    </row>
    <row r="12" spans="3:20" ht="21" customHeight="1" x14ac:dyDescent="0.25">
      <c r="C12" s="13" t="s">
        <v>61</v>
      </c>
      <c r="D12" s="13" t="s">
        <v>62</v>
      </c>
      <c r="E12" s="59" t="s">
        <v>60</v>
      </c>
      <c r="F12" s="14">
        <v>2009</v>
      </c>
      <c r="G12" s="13" t="s">
        <v>63</v>
      </c>
      <c r="H12" s="14">
        <v>92000</v>
      </c>
      <c r="I12" s="15">
        <v>21900</v>
      </c>
      <c r="J12" s="13" t="s">
        <v>59</v>
      </c>
      <c r="P12" s="30"/>
      <c r="Q12" s="30"/>
      <c r="R12" s="30"/>
      <c r="S12" s="58"/>
      <c r="T12" s="30"/>
    </row>
    <row r="13" spans="3:20" ht="21" customHeight="1" x14ac:dyDescent="0.25">
      <c r="C13" s="13" t="s">
        <v>65</v>
      </c>
      <c r="D13" s="13" t="s">
        <v>66</v>
      </c>
      <c r="E13" s="13" t="s">
        <v>64</v>
      </c>
      <c r="F13" s="14">
        <v>2004</v>
      </c>
      <c r="G13" s="13" t="s">
        <v>54</v>
      </c>
      <c r="H13" s="14">
        <v>102420</v>
      </c>
      <c r="I13" s="15">
        <v>24980</v>
      </c>
      <c r="J13" s="13" t="s">
        <v>59</v>
      </c>
      <c r="P13" s="92" t="s">
        <v>111</v>
      </c>
      <c r="Q13" s="92"/>
      <c r="R13" s="30"/>
      <c r="S13" s="58"/>
      <c r="T13" s="30"/>
    </row>
    <row r="14" spans="3:20" ht="21" customHeight="1" thickBot="1" x14ac:dyDescent="0.3">
      <c r="C14" s="13" t="s">
        <v>52</v>
      </c>
      <c r="D14" s="13" t="s">
        <v>68</v>
      </c>
      <c r="E14" s="13" t="s">
        <v>67</v>
      </c>
      <c r="F14" s="14">
        <v>2012</v>
      </c>
      <c r="G14" s="13" t="s">
        <v>39</v>
      </c>
      <c r="H14" s="14">
        <v>48075</v>
      </c>
      <c r="I14" s="15">
        <v>32990</v>
      </c>
      <c r="J14" s="13" t="s">
        <v>59</v>
      </c>
      <c r="P14" s="29"/>
      <c r="Q14" s="29"/>
      <c r="R14" s="30"/>
      <c r="S14" s="58"/>
      <c r="T14" s="30"/>
    </row>
    <row r="15" spans="3:20" ht="21" customHeight="1" thickBot="1" x14ac:dyDescent="0.3">
      <c r="C15" s="13" t="s">
        <v>70</v>
      </c>
      <c r="D15" s="13" t="s">
        <v>71</v>
      </c>
      <c r="E15" s="13" t="s">
        <v>69</v>
      </c>
      <c r="F15" s="14">
        <v>2013</v>
      </c>
      <c r="G15" s="13" t="s">
        <v>72</v>
      </c>
      <c r="H15" s="14">
        <v>28784</v>
      </c>
      <c r="I15" s="15">
        <v>55190</v>
      </c>
      <c r="J15" s="13" t="s">
        <v>59</v>
      </c>
      <c r="P15" s="49" t="s">
        <v>112</v>
      </c>
      <c r="Q15" s="31" t="s">
        <v>89</v>
      </c>
      <c r="R15" s="30"/>
      <c r="S15" s="58"/>
      <c r="T15" s="30"/>
    </row>
    <row r="16" spans="3:20" ht="21" customHeight="1" x14ac:dyDescent="0.25">
      <c r="P16" s="50" t="s">
        <v>93</v>
      </c>
      <c r="Q16" s="51"/>
      <c r="R16" s="30"/>
      <c r="S16" s="58"/>
      <c r="T16" s="30"/>
    </row>
    <row r="17" spans="16:20" ht="21" customHeight="1" x14ac:dyDescent="0.25">
      <c r="P17" s="52" t="s">
        <v>96</v>
      </c>
      <c r="Q17" s="53"/>
      <c r="R17" s="30"/>
      <c r="S17" s="58"/>
      <c r="T17" s="30"/>
    </row>
    <row r="18" spans="16:20" ht="21" customHeight="1" x14ac:dyDescent="0.25">
      <c r="P18" s="52" t="s">
        <v>101</v>
      </c>
      <c r="Q18" s="54"/>
      <c r="R18" s="30"/>
      <c r="S18" s="58"/>
      <c r="T18" s="30"/>
    </row>
    <row r="19" spans="16:20" ht="21" customHeight="1" x14ac:dyDescent="0.25">
      <c r="P19" s="52" t="s">
        <v>102</v>
      </c>
      <c r="Q19" s="53"/>
      <c r="R19" s="30"/>
      <c r="S19" s="58"/>
      <c r="T19" s="30"/>
    </row>
    <row r="20" spans="16:20" ht="21" customHeight="1" thickBot="1" x14ac:dyDescent="0.3">
      <c r="P20" s="55" t="s">
        <v>107</v>
      </c>
      <c r="Q20" s="56"/>
      <c r="R20" s="30"/>
      <c r="S20" s="58"/>
      <c r="T20" s="30"/>
    </row>
  </sheetData>
  <mergeCells count="4">
    <mergeCell ref="C2:J2"/>
    <mergeCell ref="M5:N6"/>
    <mergeCell ref="P4:T4"/>
    <mergeCell ref="P13:Q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DC051-D25B-4353-9468-ED3373FED120}">
  <dimension ref="A1:K26"/>
  <sheetViews>
    <sheetView showGridLines="0" zoomScale="90" zoomScaleNormal="90" workbookViewId="0">
      <selection activeCell="J16" sqref="J16"/>
    </sheetView>
  </sheetViews>
  <sheetFormatPr defaultRowHeight="15.75" x14ac:dyDescent="0.25"/>
  <cols>
    <col min="1" max="1" width="11.28515625" style="30" bestFit="1" customWidth="1"/>
    <col min="2" max="2" width="12.7109375" style="30" bestFit="1" customWidth="1"/>
    <col min="3" max="3" width="14" style="30" bestFit="1" customWidth="1"/>
    <col min="4" max="4" width="10.5703125" style="30" bestFit="1" customWidth="1"/>
    <col min="5" max="5" width="16.85546875" style="30" bestFit="1" customWidth="1"/>
    <col min="6" max="6" width="6.28515625" style="11" customWidth="1"/>
    <col min="7" max="7" width="20" style="11" bestFit="1" customWidth="1"/>
    <col min="8" max="8" width="24.5703125" style="11" bestFit="1" customWidth="1"/>
    <col min="9" max="10" width="9.140625" style="11"/>
    <col min="11" max="11" width="11.85546875" style="11" bestFit="1" customWidth="1"/>
    <col min="12" max="16384" width="9.140625" style="11"/>
  </cols>
  <sheetData>
    <row r="1" spans="1:11" ht="23.25" customHeight="1" thickBot="1" x14ac:dyDescent="0.3">
      <c r="E1" s="60"/>
    </row>
    <row r="2" spans="1:11" ht="16.5" thickBot="1" x14ac:dyDescent="0.3">
      <c r="A2" s="61" t="s">
        <v>113</v>
      </c>
      <c r="B2" s="61" t="s">
        <v>114</v>
      </c>
      <c r="C2" s="61" t="s">
        <v>115</v>
      </c>
      <c r="D2" s="61" t="s">
        <v>116</v>
      </c>
      <c r="E2" s="61" t="s">
        <v>117</v>
      </c>
      <c r="K2" s="62"/>
    </row>
    <row r="3" spans="1:11" x14ac:dyDescent="0.25">
      <c r="A3" s="63">
        <v>44370</v>
      </c>
      <c r="B3" s="64" t="s">
        <v>118</v>
      </c>
      <c r="C3" s="64">
        <v>24</v>
      </c>
      <c r="D3" s="65">
        <v>184.2</v>
      </c>
      <c r="E3" s="66">
        <v>300000</v>
      </c>
      <c r="K3" s="62"/>
    </row>
    <row r="4" spans="1:11" x14ac:dyDescent="0.25">
      <c r="A4" s="63">
        <v>44366</v>
      </c>
      <c r="B4" s="40" t="s">
        <v>118</v>
      </c>
      <c r="C4" s="40">
        <v>30</v>
      </c>
      <c r="D4" s="67">
        <v>503</v>
      </c>
      <c r="E4" s="66">
        <f t="shared" ref="E4:E21" si="0">D4*C4</f>
        <v>15090</v>
      </c>
      <c r="K4" s="62"/>
    </row>
    <row r="5" spans="1:11" x14ac:dyDescent="0.25">
      <c r="A5" s="63">
        <v>44376</v>
      </c>
      <c r="B5" s="40" t="s">
        <v>119</v>
      </c>
      <c r="C5" s="40">
        <v>36</v>
      </c>
      <c r="D5" s="67">
        <v>255</v>
      </c>
      <c r="E5" s="66">
        <f t="shared" si="0"/>
        <v>9180</v>
      </c>
      <c r="G5" s="11" t="s">
        <v>120</v>
      </c>
    </row>
    <row r="6" spans="1:11" ht="16.5" thickBot="1" x14ac:dyDescent="0.3">
      <c r="A6" s="63">
        <v>44374</v>
      </c>
      <c r="B6" s="40" t="s">
        <v>119</v>
      </c>
      <c r="C6" s="40">
        <v>74</v>
      </c>
      <c r="D6" s="67">
        <v>156</v>
      </c>
      <c r="E6" s="66">
        <f t="shared" si="0"/>
        <v>11544</v>
      </c>
    </row>
    <row r="7" spans="1:11" x14ac:dyDescent="0.25">
      <c r="A7" s="63">
        <v>44368</v>
      </c>
      <c r="B7" s="40" t="s">
        <v>118</v>
      </c>
      <c r="C7" s="40">
        <v>10</v>
      </c>
      <c r="D7" s="67">
        <v>708</v>
      </c>
      <c r="E7" s="66">
        <f t="shared" si="0"/>
        <v>7080</v>
      </c>
      <c r="G7" s="68" t="s">
        <v>114</v>
      </c>
      <c r="H7" s="69" t="s">
        <v>120</v>
      </c>
    </row>
    <row r="8" spans="1:11" ht="16.5" thickBot="1" x14ac:dyDescent="0.3">
      <c r="A8" s="63">
        <v>44379</v>
      </c>
      <c r="B8" s="40" t="s">
        <v>121</v>
      </c>
      <c r="C8" s="40">
        <v>38</v>
      </c>
      <c r="D8" s="67">
        <v>559</v>
      </c>
      <c r="E8" s="66">
        <f t="shared" si="0"/>
        <v>21242</v>
      </c>
      <c r="G8" s="40" t="s">
        <v>122</v>
      </c>
      <c r="H8" s="70"/>
    </row>
    <row r="9" spans="1:11" x14ac:dyDescent="0.25">
      <c r="A9" s="63">
        <v>44381</v>
      </c>
      <c r="B9" s="40" t="s">
        <v>122</v>
      </c>
      <c r="C9" s="40">
        <v>90</v>
      </c>
      <c r="D9" s="67">
        <v>981</v>
      </c>
      <c r="E9" s="66">
        <f t="shared" si="0"/>
        <v>88290</v>
      </c>
    </row>
    <row r="10" spans="1:11" x14ac:dyDescent="0.25">
      <c r="A10" s="63">
        <v>44370</v>
      </c>
      <c r="B10" s="40" t="s">
        <v>122</v>
      </c>
      <c r="C10" s="40">
        <v>46</v>
      </c>
      <c r="D10" s="67">
        <v>779</v>
      </c>
      <c r="E10" s="66">
        <f t="shared" si="0"/>
        <v>35834</v>
      </c>
    </row>
    <row r="11" spans="1:11" x14ac:dyDescent="0.25">
      <c r="A11" s="63">
        <v>44367</v>
      </c>
      <c r="B11" s="40" t="s">
        <v>121</v>
      </c>
      <c r="C11" s="40">
        <v>70</v>
      </c>
      <c r="D11" s="67">
        <v>199</v>
      </c>
      <c r="E11" s="66">
        <f t="shared" si="0"/>
        <v>13930</v>
      </c>
    </row>
    <row r="12" spans="1:11" x14ac:dyDescent="0.25">
      <c r="A12" s="63">
        <v>44366</v>
      </c>
      <c r="B12" s="40" t="s">
        <v>119</v>
      </c>
      <c r="C12" s="40">
        <v>188</v>
      </c>
      <c r="D12" s="67">
        <v>212</v>
      </c>
      <c r="E12" s="66">
        <f t="shared" si="0"/>
        <v>39856</v>
      </c>
    </row>
    <row r="13" spans="1:11" x14ac:dyDescent="0.25">
      <c r="A13" s="63">
        <v>44365</v>
      </c>
      <c r="B13" s="40" t="s">
        <v>119</v>
      </c>
      <c r="C13" s="40">
        <v>156</v>
      </c>
      <c r="D13" s="67">
        <v>715</v>
      </c>
      <c r="E13" s="66">
        <f t="shared" si="0"/>
        <v>111540</v>
      </c>
      <c r="G13" s="11" t="s">
        <v>123</v>
      </c>
    </row>
    <row r="14" spans="1:11" ht="16.5" thickBot="1" x14ac:dyDescent="0.3">
      <c r="A14" s="63">
        <v>44367</v>
      </c>
      <c r="B14" s="40" t="s">
        <v>118</v>
      </c>
      <c r="C14" s="40">
        <v>240</v>
      </c>
      <c r="D14" s="67">
        <v>855</v>
      </c>
      <c r="E14" s="66">
        <f t="shared" si="0"/>
        <v>205200</v>
      </c>
    </row>
    <row r="15" spans="1:11" x14ac:dyDescent="0.25">
      <c r="A15" s="63">
        <v>44366</v>
      </c>
      <c r="B15" s="40" t="s">
        <v>118</v>
      </c>
      <c r="C15" s="40">
        <v>38</v>
      </c>
      <c r="D15" s="67">
        <v>373</v>
      </c>
      <c r="E15" s="66">
        <f t="shared" si="0"/>
        <v>14174</v>
      </c>
      <c r="G15" s="68" t="s">
        <v>114</v>
      </c>
      <c r="H15" s="68" t="s">
        <v>117</v>
      </c>
    </row>
    <row r="16" spans="1:11" ht="16.5" thickBot="1" x14ac:dyDescent="0.3">
      <c r="A16" s="63">
        <v>44366</v>
      </c>
      <c r="B16" s="40" t="s">
        <v>121</v>
      </c>
      <c r="C16" s="40">
        <v>50</v>
      </c>
      <c r="D16" s="67">
        <v>578</v>
      </c>
      <c r="E16" s="66">
        <f t="shared" si="0"/>
        <v>28900</v>
      </c>
      <c r="G16" s="71" t="s">
        <v>119</v>
      </c>
      <c r="H16" s="72"/>
    </row>
    <row r="17" spans="1:8" x14ac:dyDescent="0.25">
      <c r="A17" s="63">
        <v>44366</v>
      </c>
      <c r="B17" s="40" t="s">
        <v>118</v>
      </c>
      <c r="C17" s="40">
        <v>188</v>
      </c>
      <c r="D17" s="67">
        <v>672</v>
      </c>
      <c r="E17" s="66">
        <f t="shared" si="0"/>
        <v>126336</v>
      </c>
    </row>
    <row r="18" spans="1:8" x14ac:dyDescent="0.25">
      <c r="A18" s="63">
        <v>44366</v>
      </c>
      <c r="B18" s="40" t="s">
        <v>118</v>
      </c>
      <c r="C18" s="40">
        <v>2</v>
      </c>
      <c r="D18" s="67">
        <v>324</v>
      </c>
      <c r="E18" s="66">
        <f t="shared" si="0"/>
        <v>648</v>
      </c>
    </row>
    <row r="19" spans="1:8" x14ac:dyDescent="0.25">
      <c r="A19" s="63">
        <v>44366</v>
      </c>
      <c r="B19" s="40" t="s">
        <v>122</v>
      </c>
      <c r="C19" s="40">
        <v>108</v>
      </c>
      <c r="D19" s="67">
        <v>791</v>
      </c>
      <c r="E19" s="66">
        <f t="shared" si="0"/>
        <v>85428</v>
      </c>
      <c r="G19" s="81" t="s">
        <v>114</v>
      </c>
      <c r="H19" s="81" t="s">
        <v>124</v>
      </c>
    </row>
    <row r="20" spans="1:8" x14ac:dyDescent="0.25">
      <c r="A20" s="63">
        <v>44366</v>
      </c>
      <c r="B20" s="40" t="s">
        <v>118</v>
      </c>
      <c r="C20" s="40">
        <v>244</v>
      </c>
      <c r="D20" s="67">
        <v>856</v>
      </c>
      <c r="E20" s="66">
        <f t="shared" si="0"/>
        <v>208864</v>
      </c>
      <c r="G20" s="82" t="s">
        <v>122</v>
      </c>
      <c r="H20" s="82" t="s">
        <v>125</v>
      </c>
    </row>
    <row r="21" spans="1:8" x14ac:dyDescent="0.25">
      <c r="A21" s="63">
        <v>44366</v>
      </c>
      <c r="B21" s="40" t="s">
        <v>118</v>
      </c>
      <c r="C21" s="40">
        <v>64</v>
      </c>
      <c r="D21" s="67">
        <v>894</v>
      </c>
      <c r="E21" s="66">
        <f t="shared" si="0"/>
        <v>57216</v>
      </c>
      <c r="G21" s="82" t="s">
        <v>118</v>
      </c>
      <c r="H21" s="82" t="s">
        <v>126</v>
      </c>
    </row>
    <row r="22" spans="1:8" x14ac:dyDescent="0.25">
      <c r="G22" s="82" t="s">
        <v>119</v>
      </c>
      <c r="H22" s="82" t="s">
        <v>127</v>
      </c>
    </row>
    <row r="23" spans="1:8" x14ac:dyDescent="0.25">
      <c r="G23" s="82" t="s">
        <v>121</v>
      </c>
      <c r="H23" s="82" t="s">
        <v>128</v>
      </c>
    </row>
    <row r="24" spans="1:8" x14ac:dyDescent="0.25">
      <c r="G24" s="83"/>
      <c r="H24" s="83"/>
    </row>
    <row r="25" spans="1:8" x14ac:dyDescent="0.25">
      <c r="G25" s="83"/>
      <c r="H25" s="83"/>
    </row>
    <row r="26" spans="1:8" x14ac:dyDescent="0.25">
      <c r="G26" s="83"/>
      <c r="H26" s="83"/>
    </row>
  </sheetData>
  <autoFilter ref="A2:E21" xr:uid="{00000000-0009-0000-0000-000004000000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D7058-4C26-4885-A51C-82385D679D45}">
  <dimension ref="A1:M22"/>
  <sheetViews>
    <sheetView showGridLines="0" zoomScaleNormal="100" workbookViewId="0">
      <selection activeCell="L17" sqref="L17"/>
    </sheetView>
  </sheetViews>
  <sheetFormatPr defaultRowHeight="15.75" x14ac:dyDescent="0.25"/>
  <cols>
    <col min="1" max="1" width="10.7109375" style="30" bestFit="1" customWidth="1"/>
    <col min="2" max="2" width="12.7109375" style="30" bestFit="1" customWidth="1"/>
    <col min="3" max="3" width="12.7109375" style="30" customWidth="1"/>
    <col min="4" max="4" width="14" style="30" bestFit="1" customWidth="1"/>
    <col min="5" max="5" width="10.5703125" style="30" bestFit="1" customWidth="1"/>
    <col min="6" max="6" width="16.85546875" style="30" bestFit="1" customWidth="1"/>
    <col min="7" max="7" width="5.28515625" style="11" customWidth="1"/>
    <col min="8" max="8" width="12" style="11" bestFit="1" customWidth="1"/>
    <col min="9" max="9" width="12.140625" style="11" bestFit="1" customWidth="1"/>
    <col min="10" max="10" width="14.28515625" style="11" bestFit="1" customWidth="1"/>
    <col min="11" max="11" width="6.140625" style="73" customWidth="1"/>
    <col min="12" max="12" width="9.140625" style="11"/>
    <col min="13" max="13" width="11.85546875" style="11" bestFit="1" customWidth="1"/>
    <col min="14" max="16384" width="9.140625" style="11"/>
  </cols>
  <sheetData>
    <row r="1" spans="1:13" ht="36.75" customHeight="1" thickBot="1" x14ac:dyDescent="0.3">
      <c r="F1" s="60"/>
    </row>
    <row r="2" spans="1:13" ht="16.5" thickBot="1" x14ac:dyDescent="0.3">
      <c r="A2" s="61" t="s">
        <v>113</v>
      </c>
      <c r="B2" s="61" t="s">
        <v>114</v>
      </c>
      <c r="C2" s="61" t="s">
        <v>124</v>
      </c>
      <c r="D2" s="61" t="s">
        <v>115</v>
      </c>
      <c r="E2" s="61" t="s">
        <v>116</v>
      </c>
      <c r="F2" s="61" t="s">
        <v>117</v>
      </c>
      <c r="M2" s="62"/>
    </row>
    <row r="3" spans="1:13" x14ac:dyDescent="0.25">
      <c r="A3" s="63">
        <v>44370</v>
      </c>
      <c r="B3" s="64" t="s">
        <v>118</v>
      </c>
      <c r="C3" s="64" t="s">
        <v>129</v>
      </c>
      <c r="D3" s="64">
        <v>24</v>
      </c>
      <c r="E3" s="65">
        <v>184.2</v>
      </c>
      <c r="F3" s="66">
        <v>300000</v>
      </c>
      <c r="I3" s="62"/>
      <c r="M3" s="62"/>
    </row>
    <row r="4" spans="1:13" x14ac:dyDescent="0.25">
      <c r="A4" s="63">
        <v>44366</v>
      </c>
      <c r="B4" s="40" t="s">
        <v>118</v>
      </c>
      <c r="C4" s="40" t="s">
        <v>125</v>
      </c>
      <c r="D4" s="40">
        <v>30</v>
      </c>
      <c r="E4" s="67">
        <v>503</v>
      </c>
      <c r="F4" s="66">
        <f t="shared" ref="F4:F21" si="0">E4*D4</f>
        <v>15090</v>
      </c>
      <c r="M4" s="62"/>
    </row>
    <row r="5" spans="1:13" x14ac:dyDescent="0.25">
      <c r="A5" s="63">
        <v>44376</v>
      </c>
      <c r="B5" s="40" t="s">
        <v>119</v>
      </c>
      <c r="C5" s="40" t="s">
        <v>130</v>
      </c>
      <c r="D5" s="40">
        <v>36</v>
      </c>
      <c r="E5" s="67">
        <v>255</v>
      </c>
      <c r="F5" s="66">
        <f t="shared" si="0"/>
        <v>9180</v>
      </c>
      <c r="H5" s="11" t="s">
        <v>131</v>
      </c>
    </row>
    <row r="6" spans="1:13" ht="16.5" thickBot="1" x14ac:dyDescent="0.3">
      <c r="A6" s="63">
        <v>44374</v>
      </c>
      <c r="B6" s="40" t="s">
        <v>119</v>
      </c>
      <c r="C6" s="40" t="s">
        <v>125</v>
      </c>
      <c r="D6" s="40">
        <v>74</v>
      </c>
      <c r="E6" s="67">
        <v>156</v>
      </c>
      <c r="F6" s="66">
        <f t="shared" si="0"/>
        <v>11544</v>
      </c>
    </row>
    <row r="7" spans="1:13" x14ac:dyDescent="0.25">
      <c r="A7" s="63">
        <v>44368</v>
      </c>
      <c r="B7" s="40" t="s">
        <v>118</v>
      </c>
      <c r="C7" s="40" t="s">
        <v>132</v>
      </c>
      <c r="D7" s="40">
        <v>10</v>
      </c>
      <c r="E7" s="67">
        <v>708</v>
      </c>
      <c r="F7" s="66">
        <f t="shared" si="0"/>
        <v>7080</v>
      </c>
      <c r="H7" s="68" t="s">
        <v>114</v>
      </c>
      <c r="I7" s="68" t="s">
        <v>124</v>
      </c>
      <c r="J7" s="68" t="s">
        <v>131</v>
      </c>
      <c r="K7" s="74"/>
    </row>
    <row r="8" spans="1:13" ht="16.5" thickBot="1" x14ac:dyDescent="0.3">
      <c r="A8" s="63">
        <v>44379</v>
      </c>
      <c r="B8" s="40" t="s">
        <v>121</v>
      </c>
      <c r="C8" s="40" t="s">
        <v>132</v>
      </c>
      <c r="D8" s="40">
        <v>38</v>
      </c>
      <c r="E8" s="67">
        <v>559</v>
      </c>
      <c r="F8" s="66">
        <f t="shared" si="0"/>
        <v>21242</v>
      </c>
      <c r="H8" s="79" t="s">
        <v>122</v>
      </c>
      <c r="I8" s="71" t="s">
        <v>126</v>
      </c>
      <c r="J8" s="71"/>
      <c r="K8" s="75"/>
    </row>
    <row r="9" spans="1:13" x14ac:dyDescent="0.25">
      <c r="A9" s="63">
        <v>44381</v>
      </c>
      <c r="B9" s="40" t="s">
        <v>122</v>
      </c>
      <c r="C9" s="40" t="s">
        <v>125</v>
      </c>
      <c r="D9" s="40">
        <v>90</v>
      </c>
      <c r="E9" s="67">
        <v>981</v>
      </c>
      <c r="F9" s="66">
        <f t="shared" si="0"/>
        <v>88290</v>
      </c>
      <c r="H9" s="76" t="s">
        <v>133</v>
      </c>
      <c r="I9" s="76" t="s">
        <v>134</v>
      </c>
      <c r="J9" s="76" t="s">
        <v>135</v>
      </c>
    </row>
    <row r="10" spans="1:13" x14ac:dyDescent="0.25">
      <c r="A10" s="63">
        <v>44370</v>
      </c>
      <c r="B10" s="40" t="s">
        <v>122</v>
      </c>
      <c r="C10" s="40" t="s">
        <v>130</v>
      </c>
      <c r="D10" s="40">
        <v>46</v>
      </c>
      <c r="E10" s="67">
        <v>779</v>
      </c>
      <c r="F10" s="66">
        <f t="shared" si="0"/>
        <v>35834</v>
      </c>
    </row>
    <row r="11" spans="1:13" x14ac:dyDescent="0.25">
      <c r="A11" s="63">
        <v>44367</v>
      </c>
      <c r="B11" s="40" t="s">
        <v>121</v>
      </c>
      <c r="C11" s="40" t="s">
        <v>136</v>
      </c>
      <c r="D11" s="40">
        <v>70</v>
      </c>
      <c r="E11" s="67">
        <v>199</v>
      </c>
      <c r="F11" s="66">
        <f t="shared" si="0"/>
        <v>13930</v>
      </c>
    </row>
    <row r="12" spans="1:13" x14ac:dyDescent="0.25">
      <c r="A12" s="63">
        <v>44366</v>
      </c>
      <c r="B12" s="40" t="s">
        <v>119</v>
      </c>
      <c r="C12" s="40" t="s">
        <v>129</v>
      </c>
      <c r="D12" s="40">
        <v>188</v>
      </c>
      <c r="E12" s="67">
        <v>212</v>
      </c>
      <c r="F12" s="66">
        <f t="shared" si="0"/>
        <v>39856</v>
      </c>
    </row>
    <row r="13" spans="1:13" x14ac:dyDescent="0.25">
      <c r="A13" s="63">
        <v>44365</v>
      </c>
      <c r="B13" s="40" t="s">
        <v>119</v>
      </c>
      <c r="C13" s="40" t="s">
        <v>129</v>
      </c>
      <c r="D13" s="40">
        <v>156</v>
      </c>
      <c r="E13" s="67">
        <v>715</v>
      </c>
      <c r="F13" s="66">
        <f t="shared" si="0"/>
        <v>111540</v>
      </c>
      <c r="H13" s="11" t="s">
        <v>137</v>
      </c>
    </row>
    <row r="14" spans="1:13" ht="16.5" thickBot="1" x14ac:dyDescent="0.3">
      <c r="A14" s="63">
        <v>44367</v>
      </c>
      <c r="B14" s="40" t="s">
        <v>118</v>
      </c>
      <c r="C14" s="40" t="s">
        <v>125</v>
      </c>
      <c r="D14" s="40">
        <v>240</v>
      </c>
      <c r="E14" s="67">
        <v>855</v>
      </c>
      <c r="F14" s="66">
        <f t="shared" si="0"/>
        <v>205200</v>
      </c>
    </row>
    <row r="15" spans="1:13" x14ac:dyDescent="0.25">
      <c r="A15" s="63">
        <v>44366</v>
      </c>
      <c r="B15" s="40" t="s">
        <v>118</v>
      </c>
      <c r="C15" s="40" t="s">
        <v>132</v>
      </c>
      <c r="D15" s="40">
        <v>38</v>
      </c>
      <c r="E15" s="67">
        <v>373</v>
      </c>
      <c r="F15" s="66">
        <f t="shared" si="0"/>
        <v>14174</v>
      </c>
      <c r="H15" s="68" t="s">
        <v>114</v>
      </c>
      <c r="I15" s="68" t="s">
        <v>124</v>
      </c>
      <c r="J15" s="68" t="s">
        <v>117</v>
      </c>
    </row>
    <row r="16" spans="1:13" ht="16.5" thickBot="1" x14ac:dyDescent="0.3">
      <c r="A16" s="63">
        <v>44366</v>
      </c>
      <c r="B16" s="40" t="s">
        <v>121</v>
      </c>
      <c r="C16" s="40" t="s">
        <v>136</v>
      </c>
      <c r="D16" s="40">
        <v>50</v>
      </c>
      <c r="E16" s="67">
        <v>578</v>
      </c>
      <c r="F16" s="66">
        <f t="shared" si="0"/>
        <v>28900</v>
      </c>
      <c r="H16" s="71" t="s">
        <v>118</v>
      </c>
      <c r="I16" s="71" t="s">
        <v>125</v>
      </c>
      <c r="J16" s="77"/>
    </row>
    <row r="17" spans="1:9" ht="16.5" thickBot="1" x14ac:dyDescent="0.3">
      <c r="A17" s="63">
        <v>44366</v>
      </c>
      <c r="B17" s="40" t="s">
        <v>118</v>
      </c>
      <c r="C17" s="40" t="s">
        <v>132</v>
      </c>
      <c r="D17" s="40">
        <v>188</v>
      </c>
      <c r="E17" s="67">
        <v>672</v>
      </c>
      <c r="F17" s="66">
        <f t="shared" si="0"/>
        <v>126336</v>
      </c>
    </row>
    <row r="18" spans="1:9" ht="16.5" thickBot="1" x14ac:dyDescent="0.3">
      <c r="A18" s="63">
        <v>44366</v>
      </c>
      <c r="B18" s="40" t="s">
        <v>118</v>
      </c>
      <c r="C18" s="40" t="s">
        <v>129</v>
      </c>
      <c r="D18" s="40">
        <v>2</v>
      </c>
      <c r="E18" s="67">
        <v>324</v>
      </c>
      <c r="F18" s="66">
        <f t="shared" si="0"/>
        <v>648</v>
      </c>
      <c r="H18" s="78" t="s">
        <v>114</v>
      </c>
      <c r="I18" s="78" t="s">
        <v>124</v>
      </c>
    </row>
    <row r="19" spans="1:9" x14ac:dyDescent="0.25">
      <c r="A19" s="63">
        <v>44366</v>
      </c>
      <c r="B19" s="40" t="s">
        <v>122</v>
      </c>
      <c r="C19" s="40" t="s">
        <v>130</v>
      </c>
      <c r="D19" s="40">
        <v>108</v>
      </c>
      <c r="E19" s="67">
        <v>791</v>
      </c>
      <c r="F19" s="66">
        <f t="shared" si="0"/>
        <v>85428</v>
      </c>
      <c r="H19" s="79" t="s">
        <v>122</v>
      </c>
      <c r="I19" s="79" t="s">
        <v>125</v>
      </c>
    </row>
    <row r="20" spans="1:9" x14ac:dyDescent="0.25">
      <c r="A20" s="63">
        <v>44366</v>
      </c>
      <c r="B20" s="40" t="s">
        <v>118</v>
      </c>
      <c r="C20" s="40" t="s">
        <v>129</v>
      </c>
      <c r="D20" s="40">
        <v>244</v>
      </c>
      <c r="E20" s="67">
        <v>856</v>
      </c>
      <c r="F20" s="66">
        <f t="shared" si="0"/>
        <v>208864</v>
      </c>
      <c r="H20" s="80" t="s">
        <v>118</v>
      </c>
      <c r="I20" s="80" t="s">
        <v>126</v>
      </c>
    </row>
    <row r="21" spans="1:9" x14ac:dyDescent="0.25">
      <c r="A21" s="63">
        <v>44366</v>
      </c>
      <c r="B21" s="40" t="s">
        <v>118</v>
      </c>
      <c r="C21" s="40" t="s">
        <v>129</v>
      </c>
      <c r="D21" s="40">
        <v>64</v>
      </c>
      <c r="E21" s="67">
        <v>894</v>
      </c>
      <c r="F21" s="66">
        <f t="shared" si="0"/>
        <v>57216</v>
      </c>
      <c r="H21" s="79" t="s">
        <v>119</v>
      </c>
      <c r="I21" s="79" t="s">
        <v>127</v>
      </c>
    </row>
    <row r="22" spans="1:9" x14ac:dyDescent="0.25">
      <c r="H22" s="79" t="s">
        <v>121</v>
      </c>
      <c r="I22" s="79" t="s">
        <v>128</v>
      </c>
    </row>
  </sheetData>
  <autoFilter ref="A2:F21" xr:uid="{00000000-0009-0000-0000-000005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1</vt:i4>
      </vt:variant>
    </vt:vector>
  </HeadingPairs>
  <TitlesOfParts>
    <vt:vector size="10" baseType="lpstr">
      <vt:lpstr>1.Data M</vt:lpstr>
      <vt:lpstr>2. ESQ,Direita</vt:lpstr>
      <vt:lpstr>3. Procv</vt:lpstr>
      <vt:lpstr>4. procv2</vt:lpstr>
      <vt:lpstr>5.proch</vt:lpstr>
      <vt:lpstr>6.proch2</vt:lpstr>
      <vt:lpstr>7. Procv ,Proch x ProcX</vt:lpstr>
      <vt:lpstr>8. Cont.se soma.se</vt:lpstr>
      <vt:lpstr>9. Cont.ses soma.ses</vt:lpstr>
      <vt:lpstr>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Edmilson Alves</dc:creator>
  <cp:lastModifiedBy>Sthefany Christine</cp:lastModifiedBy>
  <dcterms:created xsi:type="dcterms:W3CDTF">2024-07-08T20:51:26Z</dcterms:created>
  <dcterms:modified xsi:type="dcterms:W3CDTF">2026-03-16T22:40:50Z</dcterms:modified>
</cp:coreProperties>
</file>